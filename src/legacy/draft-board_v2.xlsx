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fmassa/github/personal/fantasy-br/"/>
    </mc:Choice>
  </mc:AlternateContent>
  <xr:revisionPtr revIDLastSave="0" documentId="13_ncr:1_{A9ADC099-99F5-E043-8823-8D7DE7A8DC30}" xr6:coauthVersionLast="47" xr6:coauthVersionMax="47" xr10:uidLastSave="{00000000-0000-0000-0000-000000000000}"/>
  <bookViews>
    <workbookView xWindow="0" yWindow="760" windowWidth="34560" windowHeight="19820" xr2:uid="{00000000-000D-0000-FFFF-FFFF00000000}"/>
  </bookViews>
  <sheets>
    <sheet name="Draft Board" sheetId="1" r:id="rId1"/>
    <sheet name="My Picks" sheetId="3" r:id="rId2"/>
    <sheet name="Picks" sheetId="4" r:id="rId3"/>
    <sheet name="Post-Mortem" sheetId="5" r:id="rId4"/>
    <sheet name="Position Value" sheetId="2" r:id="rId5"/>
  </sheets>
  <definedNames>
    <definedName name="_xlnm._FilterDatabase" localSheetId="0" hidden="1">'Draft Board'!$A$1:$AH$622</definedName>
    <definedName name="_xlnm._FilterDatabase" localSheetId="2" hidden="1">Picks!$A$1:$C$231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5" i="5" l="1"/>
  <c r="AY25" i="5" s="1"/>
  <c r="AN25" i="5"/>
  <c r="AX25" i="5" s="1"/>
  <c r="AM25" i="5"/>
  <c r="AW25" i="5" s="1"/>
  <c r="AL25" i="5"/>
  <c r="AV25" i="5" s="1"/>
  <c r="AK25" i="5"/>
  <c r="AU25" i="5" s="1"/>
  <c r="AJ25" i="5"/>
  <c r="AT25" i="5" s="1"/>
  <c r="AI25" i="5"/>
  <c r="AS25" i="5" s="1"/>
  <c r="AH25" i="5"/>
  <c r="AR25" i="5" s="1"/>
  <c r="AG25" i="5"/>
  <c r="AQ25" i="5" s="1"/>
  <c r="AF25" i="5"/>
  <c r="AP25" i="5" s="1"/>
  <c r="AO24" i="5"/>
  <c r="AY24" i="5" s="1"/>
  <c r="AN24" i="5"/>
  <c r="AX24" i="5" s="1"/>
  <c r="AM24" i="5"/>
  <c r="AW24" i="5" s="1"/>
  <c r="AL24" i="5"/>
  <c r="AV24" i="5" s="1"/>
  <c r="AK24" i="5"/>
  <c r="AU24" i="5" s="1"/>
  <c r="AJ24" i="5"/>
  <c r="AT24" i="5" s="1"/>
  <c r="AI24" i="5"/>
  <c r="AS24" i="5" s="1"/>
  <c r="AH24" i="5"/>
  <c r="AR24" i="5" s="1"/>
  <c r="AG24" i="5"/>
  <c r="AQ24" i="5" s="1"/>
  <c r="AF24" i="5"/>
  <c r="AP24" i="5" s="1"/>
  <c r="AO23" i="5"/>
  <c r="AY23" i="5" s="1"/>
  <c r="AN23" i="5"/>
  <c r="AX23" i="5" s="1"/>
  <c r="AM23" i="5"/>
  <c r="AW23" i="5" s="1"/>
  <c r="AL23" i="5"/>
  <c r="AV23" i="5" s="1"/>
  <c r="AK23" i="5"/>
  <c r="AU23" i="5" s="1"/>
  <c r="AJ23" i="5"/>
  <c r="AT23" i="5" s="1"/>
  <c r="AI23" i="5"/>
  <c r="AS23" i="5" s="1"/>
  <c r="AH23" i="5"/>
  <c r="AR23" i="5" s="1"/>
  <c r="AG23" i="5"/>
  <c r="AQ23" i="5" s="1"/>
  <c r="AF23" i="5"/>
  <c r="AP23" i="5" s="1"/>
  <c r="AO22" i="5"/>
  <c r="AY22" i="5" s="1"/>
  <c r="AN22" i="5"/>
  <c r="AX22" i="5" s="1"/>
  <c r="AM22" i="5"/>
  <c r="AW22" i="5" s="1"/>
  <c r="AL22" i="5"/>
  <c r="AV22" i="5" s="1"/>
  <c r="AK22" i="5"/>
  <c r="AU22" i="5" s="1"/>
  <c r="AJ22" i="5"/>
  <c r="AT22" i="5" s="1"/>
  <c r="AI22" i="5"/>
  <c r="AS22" i="5" s="1"/>
  <c r="AH22" i="5"/>
  <c r="AR22" i="5" s="1"/>
  <c r="AG22" i="5"/>
  <c r="AQ22" i="5" s="1"/>
  <c r="AF22" i="5"/>
  <c r="AP22" i="5" s="1"/>
  <c r="AO21" i="5"/>
  <c r="AY21" i="5" s="1"/>
  <c r="AN21" i="5"/>
  <c r="AX21" i="5" s="1"/>
  <c r="AM21" i="5"/>
  <c r="AW21" i="5" s="1"/>
  <c r="AL21" i="5"/>
  <c r="AV21" i="5" s="1"/>
  <c r="AK21" i="5"/>
  <c r="AU21" i="5" s="1"/>
  <c r="AJ21" i="5"/>
  <c r="AT21" i="5" s="1"/>
  <c r="AI21" i="5"/>
  <c r="AS21" i="5" s="1"/>
  <c r="AH21" i="5"/>
  <c r="AR21" i="5" s="1"/>
  <c r="AG21" i="5"/>
  <c r="AQ21" i="5" s="1"/>
  <c r="AF21" i="5"/>
  <c r="AP21" i="5" s="1"/>
  <c r="AO20" i="5"/>
  <c r="AY20" i="5" s="1"/>
  <c r="AN20" i="5"/>
  <c r="AX20" i="5" s="1"/>
  <c r="AM20" i="5"/>
  <c r="AW20" i="5" s="1"/>
  <c r="AL20" i="5"/>
  <c r="AV20" i="5" s="1"/>
  <c r="AK20" i="5"/>
  <c r="AU20" i="5" s="1"/>
  <c r="AJ20" i="5"/>
  <c r="AT20" i="5" s="1"/>
  <c r="AI20" i="5"/>
  <c r="AS20" i="5" s="1"/>
  <c r="AH20" i="5"/>
  <c r="AR20" i="5" s="1"/>
  <c r="AG20" i="5"/>
  <c r="AQ20" i="5" s="1"/>
  <c r="AF20" i="5"/>
  <c r="AP20" i="5" s="1"/>
  <c r="AO19" i="5"/>
  <c r="AY19" i="5" s="1"/>
  <c r="AN19" i="5"/>
  <c r="AX19" i="5" s="1"/>
  <c r="AM19" i="5"/>
  <c r="AW19" i="5" s="1"/>
  <c r="AL19" i="5"/>
  <c r="AV19" i="5" s="1"/>
  <c r="AK19" i="5"/>
  <c r="AU19" i="5" s="1"/>
  <c r="AJ19" i="5"/>
  <c r="AT19" i="5" s="1"/>
  <c r="AI19" i="5"/>
  <c r="AS19" i="5" s="1"/>
  <c r="AH19" i="5"/>
  <c r="AR19" i="5" s="1"/>
  <c r="AG19" i="5"/>
  <c r="AQ19" i="5" s="1"/>
  <c r="AF19" i="5"/>
  <c r="AP19" i="5" s="1"/>
  <c r="AO18" i="5"/>
  <c r="AY18" i="5" s="1"/>
  <c r="AN18" i="5"/>
  <c r="AX18" i="5" s="1"/>
  <c r="AM18" i="5"/>
  <c r="AW18" i="5" s="1"/>
  <c r="AL18" i="5"/>
  <c r="AV18" i="5" s="1"/>
  <c r="AK18" i="5"/>
  <c r="AU18" i="5" s="1"/>
  <c r="AJ18" i="5"/>
  <c r="AT18" i="5" s="1"/>
  <c r="AI18" i="5"/>
  <c r="AS18" i="5" s="1"/>
  <c r="AH18" i="5"/>
  <c r="AR18" i="5" s="1"/>
  <c r="AG18" i="5"/>
  <c r="AQ18" i="5" s="1"/>
  <c r="AF18" i="5"/>
  <c r="AP18" i="5" s="1"/>
  <c r="AO17" i="5"/>
  <c r="AY17" i="5" s="1"/>
  <c r="AN17" i="5"/>
  <c r="AX17" i="5" s="1"/>
  <c r="AM17" i="5"/>
  <c r="AW17" i="5" s="1"/>
  <c r="AL17" i="5"/>
  <c r="AV17" i="5" s="1"/>
  <c r="AK17" i="5"/>
  <c r="AU17" i="5" s="1"/>
  <c r="AJ17" i="5"/>
  <c r="AT17" i="5" s="1"/>
  <c r="AI17" i="5"/>
  <c r="AS17" i="5" s="1"/>
  <c r="AH17" i="5"/>
  <c r="AR17" i="5" s="1"/>
  <c r="AG17" i="5"/>
  <c r="AQ17" i="5" s="1"/>
  <c r="AF17" i="5"/>
  <c r="AP17" i="5" s="1"/>
  <c r="AO16" i="5"/>
  <c r="AY16" i="5" s="1"/>
  <c r="AN16" i="5"/>
  <c r="AX16" i="5" s="1"/>
  <c r="AM16" i="5"/>
  <c r="AW16" i="5" s="1"/>
  <c r="AL16" i="5"/>
  <c r="AV16" i="5" s="1"/>
  <c r="AK16" i="5"/>
  <c r="AU16" i="5" s="1"/>
  <c r="AJ16" i="5"/>
  <c r="AT16" i="5" s="1"/>
  <c r="AI16" i="5"/>
  <c r="AS16" i="5" s="1"/>
  <c r="AH16" i="5"/>
  <c r="AR16" i="5" s="1"/>
  <c r="AG16" i="5"/>
  <c r="AQ16" i="5" s="1"/>
  <c r="AF16" i="5"/>
  <c r="AP16" i="5" s="1"/>
  <c r="AO15" i="5"/>
  <c r="AY15" i="5" s="1"/>
  <c r="AN15" i="5"/>
  <c r="AX15" i="5" s="1"/>
  <c r="AM15" i="5"/>
  <c r="AW15" i="5" s="1"/>
  <c r="AL15" i="5"/>
  <c r="AV15" i="5" s="1"/>
  <c r="AK15" i="5"/>
  <c r="AU15" i="5" s="1"/>
  <c r="AJ15" i="5"/>
  <c r="AT15" i="5" s="1"/>
  <c r="AI15" i="5"/>
  <c r="AS15" i="5" s="1"/>
  <c r="AH15" i="5"/>
  <c r="AR15" i="5" s="1"/>
  <c r="AG15" i="5"/>
  <c r="AQ15" i="5" s="1"/>
  <c r="AF15" i="5"/>
  <c r="AP15" i="5" s="1"/>
  <c r="AO14" i="5"/>
  <c r="AY14" i="5" s="1"/>
  <c r="AN14" i="5"/>
  <c r="AX14" i="5" s="1"/>
  <c r="AM14" i="5"/>
  <c r="AW14" i="5" s="1"/>
  <c r="AL14" i="5"/>
  <c r="AV14" i="5" s="1"/>
  <c r="AK14" i="5"/>
  <c r="AU14" i="5" s="1"/>
  <c r="AJ14" i="5"/>
  <c r="AT14" i="5" s="1"/>
  <c r="AI14" i="5"/>
  <c r="AS14" i="5" s="1"/>
  <c r="AH14" i="5"/>
  <c r="AR14" i="5" s="1"/>
  <c r="AG14" i="5"/>
  <c r="AQ14" i="5" s="1"/>
  <c r="AF14" i="5"/>
  <c r="AP14" i="5" s="1"/>
  <c r="AO13" i="5"/>
  <c r="AY13" i="5" s="1"/>
  <c r="AN13" i="5"/>
  <c r="AX13" i="5" s="1"/>
  <c r="AM13" i="5"/>
  <c r="AW13" i="5" s="1"/>
  <c r="AL13" i="5"/>
  <c r="AV13" i="5" s="1"/>
  <c r="AK13" i="5"/>
  <c r="AU13" i="5" s="1"/>
  <c r="AJ13" i="5"/>
  <c r="AT13" i="5" s="1"/>
  <c r="AI13" i="5"/>
  <c r="AS13" i="5" s="1"/>
  <c r="AH13" i="5"/>
  <c r="AR13" i="5" s="1"/>
  <c r="AG13" i="5"/>
  <c r="AQ13" i="5" s="1"/>
  <c r="AF13" i="5"/>
  <c r="AP13" i="5" s="1"/>
  <c r="AO12" i="5"/>
  <c r="AY12" i="5" s="1"/>
  <c r="AN12" i="5"/>
  <c r="AX12" i="5" s="1"/>
  <c r="AM12" i="5"/>
  <c r="AW12" i="5" s="1"/>
  <c r="AL12" i="5"/>
  <c r="AV12" i="5" s="1"/>
  <c r="AK12" i="5"/>
  <c r="AU12" i="5" s="1"/>
  <c r="AJ12" i="5"/>
  <c r="AT12" i="5" s="1"/>
  <c r="AI12" i="5"/>
  <c r="AS12" i="5" s="1"/>
  <c r="AH12" i="5"/>
  <c r="AR12" i="5" s="1"/>
  <c r="AG12" i="5"/>
  <c r="AQ12" i="5" s="1"/>
  <c r="AF12" i="5"/>
  <c r="AP12" i="5" s="1"/>
  <c r="AO11" i="5"/>
  <c r="AY11" i="5" s="1"/>
  <c r="AN11" i="5"/>
  <c r="AX11" i="5" s="1"/>
  <c r="AM11" i="5"/>
  <c r="AW11" i="5" s="1"/>
  <c r="AL11" i="5"/>
  <c r="AV11" i="5" s="1"/>
  <c r="AK11" i="5"/>
  <c r="AU11" i="5" s="1"/>
  <c r="AJ11" i="5"/>
  <c r="AT11" i="5" s="1"/>
  <c r="AI11" i="5"/>
  <c r="AS11" i="5" s="1"/>
  <c r="AH11" i="5"/>
  <c r="AR11" i="5" s="1"/>
  <c r="AG11" i="5"/>
  <c r="AQ11" i="5" s="1"/>
  <c r="AF11" i="5"/>
  <c r="AP11" i="5" s="1"/>
  <c r="AO10" i="5"/>
  <c r="AY10" i="5" s="1"/>
  <c r="AN10" i="5"/>
  <c r="AX10" i="5" s="1"/>
  <c r="AM10" i="5"/>
  <c r="AW10" i="5" s="1"/>
  <c r="AL10" i="5"/>
  <c r="AV10" i="5" s="1"/>
  <c r="AK10" i="5"/>
  <c r="AU10" i="5" s="1"/>
  <c r="AJ10" i="5"/>
  <c r="AT10" i="5" s="1"/>
  <c r="AI10" i="5"/>
  <c r="AS10" i="5" s="1"/>
  <c r="AH10" i="5"/>
  <c r="AR10" i="5" s="1"/>
  <c r="AG10" i="5"/>
  <c r="AQ10" i="5" s="1"/>
  <c r="AF10" i="5"/>
  <c r="AP10" i="5" s="1"/>
  <c r="AO9" i="5"/>
  <c r="AY9" i="5" s="1"/>
  <c r="AN9" i="5"/>
  <c r="AX9" i="5" s="1"/>
  <c r="AM9" i="5"/>
  <c r="AW9" i="5" s="1"/>
  <c r="AL9" i="5"/>
  <c r="AV9" i="5" s="1"/>
  <c r="AK9" i="5"/>
  <c r="AU9" i="5" s="1"/>
  <c r="AJ9" i="5"/>
  <c r="AT9" i="5" s="1"/>
  <c r="AI9" i="5"/>
  <c r="AS9" i="5" s="1"/>
  <c r="AH9" i="5"/>
  <c r="AR9" i="5" s="1"/>
  <c r="AG9" i="5"/>
  <c r="AQ9" i="5" s="1"/>
  <c r="AF9" i="5"/>
  <c r="AP9" i="5" s="1"/>
  <c r="AO8" i="5"/>
  <c r="AY8" i="5" s="1"/>
  <c r="AN8" i="5"/>
  <c r="AX8" i="5" s="1"/>
  <c r="AM8" i="5"/>
  <c r="AW8" i="5" s="1"/>
  <c r="AL8" i="5"/>
  <c r="AV8" i="5" s="1"/>
  <c r="AK8" i="5"/>
  <c r="AU8" i="5" s="1"/>
  <c r="AJ8" i="5"/>
  <c r="AT8" i="5" s="1"/>
  <c r="AI8" i="5"/>
  <c r="AS8" i="5" s="1"/>
  <c r="AH8" i="5"/>
  <c r="AR8" i="5" s="1"/>
  <c r="AG8" i="5"/>
  <c r="AQ8" i="5" s="1"/>
  <c r="AF8" i="5"/>
  <c r="AP8" i="5" s="1"/>
  <c r="AO7" i="5"/>
  <c r="AY7" i="5" s="1"/>
  <c r="AN7" i="5"/>
  <c r="AX7" i="5" s="1"/>
  <c r="AM7" i="5"/>
  <c r="AW7" i="5" s="1"/>
  <c r="AL7" i="5"/>
  <c r="AV7" i="5" s="1"/>
  <c r="AK7" i="5"/>
  <c r="AU7" i="5" s="1"/>
  <c r="AJ7" i="5"/>
  <c r="AT7" i="5" s="1"/>
  <c r="AI7" i="5"/>
  <c r="AS7" i="5" s="1"/>
  <c r="AH7" i="5"/>
  <c r="AR7" i="5" s="1"/>
  <c r="AG7" i="5"/>
  <c r="AQ7" i="5" s="1"/>
  <c r="AF7" i="5"/>
  <c r="AP7" i="5" s="1"/>
  <c r="AO6" i="5"/>
  <c r="AY6" i="5" s="1"/>
  <c r="AN6" i="5"/>
  <c r="AX6" i="5" s="1"/>
  <c r="AM6" i="5"/>
  <c r="AW6" i="5" s="1"/>
  <c r="AL6" i="5"/>
  <c r="AV6" i="5" s="1"/>
  <c r="AK6" i="5"/>
  <c r="AU6" i="5" s="1"/>
  <c r="AJ6" i="5"/>
  <c r="AT6" i="5" s="1"/>
  <c r="AI6" i="5"/>
  <c r="AS6" i="5" s="1"/>
  <c r="AH6" i="5"/>
  <c r="AR6" i="5" s="1"/>
  <c r="AG6" i="5"/>
  <c r="AQ6" i="5" s="1"/>
  <c r="AF6" i="5"/>
  <c r="AP6" i="5" s="1"/>
  <c r="AO5" i="5"/>
  <c r="AY5" i="5" s="1"/>
  <c r="AN5" i="5"/>
  <c r="AX5" i="5" s="1"/>
  <c r="AM5" i="5"/>
  <c r="AW5" i="5" s="1"/>
  <c r="AL5" i="5"/>
  <c r="AV5" i="5" s="1"/>
  <c r="AK5" i="5"/>
  <c r="AU5" i="5" s="1"/>
  <c r="AJ5" i="5"/>
  <c r="AT5" i="5" s="1"/>
  <c r="AI5" i="5"/>
  <c r="AS5" i="5" s="1"/>
  <c r="AH5" i="5"/>
  <c r="AR5" i="5" s="1"/>
  <c r="AG5" i="5"/>
  <c r="AQ5" i="5" s="1"/>
  <c r="AF5" i="5"/>
  <c r="AP5" i="5" s="1"/>
  <c r="AO4" i="5"/>
  <c r="AY4" i="5" s="1"/>
  <c r="AN4" i="5"/>
  <c r="AX4" i="5" s="1"/>
  <c r="AM4" i="5"/>
  <c r="AW4" i="5" s="1"/>
  <c r="AL4" i="5"/>
  <c r="AV4" i="5" s="1"/>
  <c r="AK4" i="5"/>
  <c r="AU4" i="5" s="1"/>
  <c r="AJ4" i="5"/>
  <c r="AT4" i="5" s="1"/>
  <c r="AI4" i="5"/>
  <c r="AS4" i="5" s="1"/>
  <c r="AH4" i="5"/>
  <c r="AR4" i="5" s="1"/>
  <c r="AG4" i="5"/>
  <c r="AQ4" i="5" s="1"/>
  <c r="AF4" i="5"/>
  <c r="AP4" i="5" s="1"/>
  <c r="AO3" i="5"/>
  <c r="AY3" i="5" s="1"/>
  <c r="AN3" i="5"/>
  <c r="AX3" i="5" s="1"/>
  <c r="AM3" i="5"/>
  <c r="AW3" i="5" s="1"/>
  <c r="AL3" i="5"/>
  <c r="AV3" i="5" s="1"/>
  <c r="AK3" i="5"/>
  <c r="AU3" i="5" s="1"/>
  <c r="AJ3" i="5"/>
  <c r="AT3" i="5" s="1"/>
  <c r="AI3" i="5"/>
  <c r="AS3" i="5" s="1"/>
  <c r="AH3" i="5"/>
  <c r="AR3" i="5" s="1"/>
  <c r="AG3" i="5"/>
  <c r="AQ3" i="5" s="1"/>
  <c r="AF3" i="5"/>
  <c r="AP3" i="5" s="1"/>
  <c r="V3" i="5"/>
  <c r="AE25" i="5"/>
  <c r="AD25" i="5"/>
  <c r="AC25" i="5"/>
  <c r="AB25" i="5"/>
  <c r="AA25" i="5"/>
  <c r="Z25" i="5"/>
  <c r="Y25" i="5"/>
  <c r="X25" i="5"/>
  <c r="W25" i="5"/>
  <c r="V25" i="5"/>
  <c r="AE24" i="5"/>
  <c r="AD24" i="5"/>
  <c r="AC24" i="5"/>
  <c r="AB24" i="5"/>
  <c r="AA24" i="5"/>
  <c r="Z24" i="5"/>
  <c r="Y24" i="5"/>
  <c r="X24" i="5"/>
  <c r="W24" i="5"/>
  <c r="V24" i="5"/>
  <c r="AE23" i="5"/>
  <c r="AD23" i="5"/>
  <c r="AC23" i="5"/>
  <c r="AB23" i="5"/>
  <c r="AA23" i="5"/>
  <c r="Z23" i="5"/>
  <c r="Y23" i="5"/>
  <c r="X23" i="5"/>
  <c r="W23" i="5"/>
  <c r="V23" i="5"/>
  <c r="AE22" i="5"/>
  <c r="AD22" i="5"/>
  <c r="AC22" i="5"/>
  <c r="AB22" i="5"/>
  <c r="AA22" i="5"/>
  <c r="Z22" i="5"/>
  <c r="Y22" i="5"/>
  <c r="X22" i="5"/>
  <c r="W22" i="5"/>
  <c r="V22" i="5"/>
  <c r="AE21" i="5"/>
  <c r="AD21" i="5"/>
  <c r="AC21" i="5"/>
  <c r="AB21" i="5"/>
  <c r="AA21" i="5"/>
  <c r="Z21" i="5"/>
  <c r="Y21" i="5"/>
  <c r="X21" i="5"/>
  <c r="W21" i="5"/>
  <c r="V21" i="5"/>
  <c r="AE20" i="5"/>
  <c r="AD20" i="5"/>
  <c r="AC20" i="5"/>
  <c r="AB20" i="5"/>
  <c r="AA20" i="5"/>
  <c r="Z20" i="5"/>
  <c r="Y20" i="5"/>
  <c r="X20" i="5"/>
  <c r="W20" i="5"/>
  <c r="V20" i="5"/>
  <c r="AE19" i="5"/>
  <c r="AD19" i="5"/>
  <c r="AC19" i="5"/>
  <c r="AB19" i="5"/>
  <c r="AA19" i="5"/>
  <c r="Z19" i="5"/>
  <c r="Y19" i="5"/>
  <c r="X19" i="5"/>
  <c r="W19" i="5"/>
  <c r="V19" i="5"/>
  <c r="AE18" i="5"/>
  <c r="AD18" i="5"/>
  <c r="AC18" i="5"/>
  <c r="AB18" i="5"/>
  <c r="AA18" i="5"/>
  <c r="Z18" i="5"/>
  <c r="Y18" i="5"/>
  <c r="X18" i="5"/>
  <c r="W18" i="5"/>
  <c r="V18" i="5"/>
  <c r="AE17" i="5"/>
  <c r="AD17" i="5"/>
  <c r="AC17" i="5"/>
  <c r="AB17" i="5"/>
  <c r="AA17" i="5"/>
  <c r="Z17" i="5"/>
  <c r="Y17" i="5"/>
  <c r="X17" i="5"/>
  <c r="W17" i="5"/>
  <c r="V17" i="5"/>
  <c r="AE16" i="5"/>
  <c r="AD16" i="5"/>
  <c r="AC16" i="5"/>
  <c r="AB16" i="5"/>
  <c r="AA16" i="5"/>
  <c r="Z16" i="5"/>
  <c r="Y16" i="5"/>
  <c r="X16" i="5"/>
  <c r="W16" i="5"/>
  <c r="V16" i="5"/>
  <c r="AE15" i="5"/>
  <c r="AD15" i="5"/>
  <c r="AC15" i="5"/>
  <c r="AB15" i="5"/>
  <c r="AA15" i="5"/>
  <c r="Z15" i="5"/>
  <c r="Y15" i="5"/>
  <c r="X15" i="5"/>
  <c r="W15" i="5"/>
  <c r="V15" i="5"/>
  <c r="AE14" i="5"/>
  <c r="AD14" i="5"/>
  <c r="AC14" i="5"/>
  <c r="AB14" i="5"/>
  <c r="AA14" i="5"/>
  <c r="Z14" i="5"/>
  <c r="Y14" i="5"/>
  <c r="X14" i="5"/>
  <c r="W14" i="5"/>
  <c r="V14" i="5"/>
  <c r="AE13" i="5"/>
  <c r="AD13" i="5"/>
  <c r="AC13" i="5"/>
  <c r="AB13" i="5"/>
  <c r="AA13" i="5"/>
  <c r="Z13" i="5"/>
  <c r="Y13" i="5"/>
  <c r="X13" i="5"/>
  <c r="W13" i="5"/>
  <c r="V13" i="5"/>
  <c r="AE12" i="5"/>
  <c r="AD12" i="5"/>
  <c r="AC12" i="5"/>
  <c r="AB12" i="5"/>
  <c r="AA12" i="5"/>
  <c r="Z12" i="5"/>
  <c r="Y12" i="5"/>
  <c r="X12" i="5"/>
  <c r="W12" i="5"/>
  <c r="V12" i="5"/>
  <c r="AE11" i="5"/>
  <c r="AD11" i="5"/>
  <c r="AC11" i="5"/>
  <c r="AB11" i="5"/>
  <c r="AA11" i="5"/>
  <c r="Z11" i="5"/>
  <c r="Y11" i="5"/>
  <c r="X11" i="5"/>
  <c r="W11" i="5"/>
  <c r="V11" i="5"/>
  <c r="AE10" i="5"/>
  <c r="AD10" i="5"/>
  <c r="AC10" i="5"/>
  <c r="AB10" i="5"/>
  <c r="AA10" i="5"/>
  <c r="Z10" i="5"/>
  <c r="Y10" i="5"/>
  <c r="X10" i="5"/>
  <c r="W10" i="5"/>
  <c r="V10" i="5"/>
  <c r="AE9" i="5"/>
  <c r="AD9" i="5"/>
  <c r="AC9" i="5"/>
  <c r="AB9" i="5"/>
  <c r="AA9" i="5"/>
  <c r="Z9" i="5"/>
  <c r="Y9" i="5"/>
  <c r="X9" i="5"/>
  <c r="W9" i="5"/>
  <c r="V9" i="5"/>
  <c r="AE8" i="5"/>
  <c r="AD8" i="5"/>
  <c r="AC8" i="5"/>
  <c r="AB8" i="5"/>
  <c r="AA8" i="5"/>
  <c r="Z8" i="5"/>
  <c r="Y8" i="5"/>
  <c r="X8" i="5"/>
  <c r="W8" i="5"/>
  <c r="V8" i="5"/>
  <c r="AE7" i="5"/>
  <c r="AD7" i="5"/>
  <c r="AC7" i="5"/>
  <c r="AB7" i="5"/>
  <c r="AA7" i="5"/>
  <c r="Z7" i="5"/>
  <c r="Y7" i="5"/>
  <c r="X7" i="5"/>
  <c r="W7" i="5"/>
  <c r="V7" i="5"/>
  <c r="AE6" i="5"/>
  <c r="AD6" i="5"/>
  <c r="AC6" i="5"/>
  <c r="AB6" i="5"/>
  <c r="AA6" i="5"/>
  <c r="Z6" i="5"/>
  <c r="Y6" i="5"/>
  <c r="X6" i="5"/>
  <c r="W6" i="5"/>
  <c r="V6" i="5"/>
  <c r="AE5" i="5"/>
  <c r="AD5" i="5"/>
  <c r="AC5" i="5"/>
  <c r="AB5" i="5"/>
  <c r="AA5" i="5"/>
  <c r="Z5" i="5"/>
  <c r="Y5" i="5"/>
  <c r="X5" i="5"/>
  <c r="W5" i="5"/>
  <c r="V5" i="5"/>
  <c r="AE4" i="5"/>
  <c r="AD4" i="5"/>
  <c r="AC4" i="5"/>
  <c r="AB4" i="5"/>
  <c r="AA4" i="5"/>
  <c r="Z4" i="5"/>
  <c r="Y4" i="5"/>
  <c r="X4" i="5"/>
  <c r="W4" i="5"/>
  <c r="V4" i="5"/>
  <c r="AE3" i="5"/>
  <c r="AD3" i="5"/>
  <c r="AC3" i="5"/>
  <c r="AB3" i="5"/>
  <c r="AA3" i="5"/>
  <c r="Z3" i="5"/>
  <c r="Y3" i="5"/>
  <c r="X3" i="5"/>
  <c r="W3" i="5"/>
  <c r="L3" i="5"/>
  <c r="U4" i="5"/>
  <c r="T4" i="5"/>
  <c r="S4" i="5"/>
  <c r="R4" i="5"/>
  <c r="Q4" i="5"/>
  <c r="P4" i="5"/>
  <c r="O4" i="5"/>
  <c r="N4" i="5"/>
  <c r="M4" i="5"/>
  <c r="U3" i="5"/>
  <c r="T3" i="5"/>
  <c r="S3" i="5"/>
  <c r="R3" i="5"/>
  <c r="Q3" i="5"/>
  <c r="P3" i="5"/>
  <c r="O3" i="5"/>
  <c r="N3" i="5"/>
  <c r="M3" i="5"/>
  <c r="K6" i="5"/>
  <c r="J6" i="5"/>
  <c r="I6" i="5"/>
  <c r="H6" i="5"/>
  <c r="G6" i="5"/>
  <c r="F6" i="5"/>
  <c r="E6" i="5"/>
  <c r="D6" i="5"/>
  <c r="C6" i="5"/>
  <c r="K5" i="5"/>
  <c r="J5" i="5"/>
  <c r="I5" i="5"/>
  <c r="H5" i="5"/>
  <c r="G5" i="5"/>
  <c r="F5" i="5"/>
  <c r="E5" i="5"/>
  <c r="D5" i="5"/>
  <c r="C5" i="5"/>
  <c r="B5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G231" i="1"/>
  <c r="G192" i="1"/>
  <c r="G332" i="1"/>
  <c r="G333" i="1"/>
  <c r="G334" i="1"/>
  <c r="G335" i="1"/>
  <c r="G336" i="1"/>
  <c r="G337" i="1"/>
  <c r="G338" i="1"/>
  <c r="G194" i="1"/>
  <c r="G339" i="1"/>
  <c r="G340" i="1"/>
  <c r="G341" i="1"/>
  <c r="G342" i="1"/>
  <c r="G343" i="1"/>
  <c r="G344" i="1"/>
  <c r="G345" i="1"/>
  <c r="G228" i="1"/>
  <c r="G346" i="1"/>
  <c r="G347" i="1"/>
  <c r="G348" i="1"/>
  <c r="G349" i="1"/>
  <c r="G215" i="1"/>
  <c r="G350" i="1"/>
  <c r="G23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211" i="1"/>
  <c r="G368" i="1"/>
  <c r="G225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189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197" i="1"/>
  <c r="G475" i="1"/>
  <c r="G476" i="1"/>
  <c r="G477" i="1"/>
  <c r="G478" i="1"/>
  <c r="G479" i="1"/>
  <c r="G480" i="1"/>
  <c r="G481" i="1"/>
  <c r="G482" i="1"/>
  <c r="G483" i="1"/>
  <c r="G20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222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227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185" i="1"/>
  <c r="G175" i="1"/>
  <c r="G179" i="1"/>
  <c r="G170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2" i="3"/>
  <c r="V28" i="5" l="1"/>
  <c r="V27" i="5"/>
  <c r="V31" i="5"/>
  <c r="V30" i="5"/>
  <c r="V29" i="5"/>
  <c r="AE31" i="5"/>
  <c r="AE27" i="5"/>
  <c r="AE30" i="5"/>
  <c r="AE29" i="5"/>
  <c r="AE28" i="5"/>
  <c r="AD27" i="5"/>
  <c r="AD31" i="5"/>
  <c r="AD30" i="5"/>
  <c r="AD29" i="5"/>
  <c r="AD28" i="5"/>
  <c r="AC29" i="5"/>
  <c r="AC27" i="5"/>
  <c r="AC31" i="5"/>
  <c r="AC30" i="5"/>
  <c r="AC28" i="5"/>
  <c r="AB27" i="5"/>
  <c r="AB31" i="5"/>
  <c r="AB29" i="5"/>
  <c r="AB30" i="5"/>
  <c r="AB28" i="5"/>
  <c r="AA30" i="5"/>
  <c r="AA27" i="5"/>
  <c r="AA31" i="5"/>
  <c r="AA29" i="5"/>
  <c r="AA28" i="5"/>
  <c r="Z29" i="5"/>
  <c r="Z30" i="5"/>
  <c r="Z27" i="5"/>
  <c r="Z28" i="5"/>
  <c r="Z31" i="5"/>
  <c r="Y30" i="5"/>
  <c r="Y28" i="5"/>
  <c r="Y31" i="5"/>
  <c r="Y27" i="5"/>
  <c r="Y29" i="5"/>
  <c r="X30" i="5"/>
  <c r="X27" i="5"/>
  <c r="X28" i="5"/>
  <c r="X31" i="5"/>
  <c r="X29" i="5"/>
  <c r="W30" i="5"/>
  <c r="W27" i="5"/>
  <c r="W31" i="5"/>
  <c r="W28" i="5"/>
  <c r="W29" i="5"/>
  <c r="AY26" i="5"/>
  <c r="AW26" i="5"/>
  <c r="AV26" i="5"/>
  <c r="AU26" i="5"/>
  <c r="AT26" i="5"/>
  <c r="AR26" i="5"/>
  <c r="AP26" i="5"/>
  <c r="AX26" i="5"/>
  <c r="AS26" i="5"/>
  <c r="AQ26" i="5"/>
  <c r="K8" i="5"/>
  <c r="U6" i="5"/>
  <c r="J8" i="5"/>
  <c r="T6" i="5"/>
  <c r="I8" i="5"/>
  <c r="S6" i="5"/>
  <c r="H8" i="5"/>
  <c r="R6" i="5"/>
  <c r="G8" i="5"/>
  <c r="Q6" i="5"/>
  <c r="F8" i="5"/>
  <c r="P6" i="5"/>
  <c r="E8" i="5"/>
  <c r="O6" i="5"/>
  <c r="D8" i="5"/>
  <c r="N6" i="5"/>
  <c r="C8" i="5"/>
  <c r="M6" i="5"/>
  <c r="K7" i="5"/>
  <c r="U5" i="5"/>
  <c r="J7" i="5"/>
  <c r="T5" i="5"/>
  <c r="I7" i="5"/>
  <c r="S5" i="5"/>
  <c r="H7" i="5"/>
  <c r="R5" i="5"/>
  <c r="G7" i="5"/>
  <c r="Q5" i="5"/>
  <c r="F7" i="5"/>
  <c r="P5" i="5"/>
  <c r="E7" i="5"/>
  <c r="O5" i="5"/>
  <c r="D7" i="5"/>
  <c r="N5" i="5"/>
  <c r="C7" i="5"/>
  <c r="M5" i="5"/>
  <c r="B7" i="5"/>
  <c r="L5" i="5"/>
  <c r="L4" i="5"/>
  <c r="B6" i="5"/>
  <c r="G58" i="1"/>
  <c r="G54" i="1"/>
  <c r="G52" i="1"/>
  <c r="G44" i="1"/>
  <c r="G48" i="1"/>
  <c r="G56" i="1"/>
  <c r="G39" i="1"/>
  <c r="G47" i="1"/>
  <c r="G43" i="1"/>
  <c r="G45" i="1"/>
  <c r="G37" i="1"/>
  <c r="G50" i="1"/>
  <c r="G57" i="1"/>
  <c r="G49" i="1"/>
  <c r="G60" i="1"/>
  <c r="G51" i="1"/>
  <c r="G55" i="1"/>
  <c r="G41" i="1"/>
  <c r="G42" i="1"/>
  <c r="G61" i="1"/>
  <c r="G59" i="1"/>
  <c r="G46" i="1"/>
  <c r="G38" i="1"/>
  <c r="G36" i="1"/>
  <c r="G53" i="1"/>
  <c r="G40" i="1"/>
  <c r="U8" i="5" l="1"/>
  <c r="K10" i="5"/>
  <c r="T8" i="5"/>
  <c r="J10" i="5"/>
  <c r="S8" i="5"/>
  <c r="I10" i="5"/>
  <c r="R8" i="5"/>
  <c r="H10" i="5"/>
  <c r="Q8" i="5"/>
  <c r="G10" i="5"/>
  <c r="P8" i="5"/>
  <c r="F10" i="5"/>
  <c r="O8" i="5"/>
  <c r="E10" i="5"/>
  <c r="N8" i="5"/>
  <c r="D10" i="5"/>
  <c r="M8" i="5"/>
  <c r="C10" i="5"/>
  <c r="U7" i="5"/>
  <c r="K9" i="5"/>
  <c r="T7" i="5"/>
  <c r="J9" i="5"/>
  <c r="S7" i="5"/>
  <c r="I9" i="5"/>
  <c r="R7" i="5"/>
  <c r="H9" i="5"/>
  <c r="Q7" i="5"/>
  <c r="G9" i="5"/>
  <c r="P7" i="5"/>
  <c r="F9" i="5"/>
  <c r="O7" i="5"/>
  <c r="E9" i="5"/>
  <c r="N7" i="5"/>
  <c r="D9" i="5"/>
  <c r="M7" i="5"/>
  <c r="C9" i="5"/>
  <c r="L7" i="5"/>
  <c r="B9" i="5"/>
  <c r="L6" i="5"/>
  <c r="B8" i="5"/>
  <c r="G17" i="1"/>
  <c r="G33" i="1"/>
  <c r="G31" i="1"/>
  <c r="G18" i="1"/>
  <c r="G9" i="1"/>
  <c r="G14" i="1"/>
  <c r="G10" i="1"/>
  <c r="G16" i="1"/>
  <c r="G21" i="1"/>
  <c r="G23" i="1"/>
  <c r="G26" i="1"/>
  <c r="G32" i="1"/>
  <c r="G15" i="1"/>
  <c r="G25" i="1"/>
  <c r="G34" i="1"/>
  <c r="G19" i="1"/>
  <c r="G35" i="1"/>
  <c r="G13" i="1"/>
  <c r="G22" i="1"/>
  <c r="G24" i="1"/>
  <c r="G27" i="1"/>
  <c r="G30" i="1"/>
  <c r="G28" i="1"/>
  <c r="G20" i="1"/>
  <c r="G12" i="1"/>
  <c r="G11" i="1"/>
  <c r="G29" i="1"/>
  <c r="G6" i="1"/>
  <c r="G8" i="1"/>
  <c r="G4" i="1"/>
  <c r="G2" i="1"/>
  <c r="G7" i="1"/>
  <c r="G3" i="1"/>
  <c r="G5" i="1"/>
  <c r="G64" i="1"/>
  <c r="U10" i="5" l="1"/>
  <c r="K12" i="5"/>
  <c r="T10" i="5"/>
  <c r="J12" i="5"/>
  <c r="S10" i="5"/>
  <c r="I12" i="5"/>
  <c r="R10" i="5"/>
  <c r="H12" i="5"/>
  <c r="Q10" i="5"/>
  <c r="G12" i="5"/>
  <c r="P10" i="5"/>
  <c r="F12" i="5"/>
  <c r="O10" i="5"/>
  <c r="E12" i="5"/>
  <c r="N10" i="5"/>
  <c r="D12" i="5"/>
  <c r="M10" i="5"/>
  <c r="C12" i="5"/>
  <c r="U9" i="5"/>
  <c r="K11" i="5"/>
  <c r="T9" i="5"/>
  <c r="J11" i="5"/>
  <c r="S9" i="5"/>
  <c r="I11" i="5"/>
  <c r="R9" i="5"/>
  <c r="H11" i="5"/>
  <c r="Q9" i="5"/>
  <c r="G11" i="5"/>
  <c r="P9" i="5"/>
  <c r="F11" i="5"/>
  <c r="O9" i="5"/>
  <c r="E11" i="5"/>
  <c r="N9" i="5"/>
  <c r="D11" i="5"/>
  <c r="M9" i="5"/>
  <c r="C11" i="5"/>
  <c r="L9" i="5"/>
  <c r="B11" i="5"/>
  <c r="L8" i="5"/>
  <c r="B10" i="5"/>
  <c r="G69" i="1"/>
  <c r="G67" i="1"/>
  <c r="G68" i="1"/>
  <c r="G62" i="1"/>
  <c r="G63" i="1"/>
  <c r="G65" i="1"/>
  <c r="G66" i="1"/>
  <c r="U12" i="5" l="1"/>
  <c r="K14" i="5"/>
  <c r="T12" i="5"/>
  <c r="J14" i="5"/>
  <c r="S12" i="5"/>
  <c r="I14" i="5"/>
  <c r="R12" i="5"/>
  <c r="H14" i="5"/>
  <c r="Q12" i="5"/>
  <c r="G14" i="5"/>
  <c r="P12" i="5"/>
  <c r="F14" i="5"/>
  <c r="O12" i="5"/>
  <c r="E14" i="5"/>
  <c r="N12" i="5"/>
  <c r="D14" i="5"/>
  <c r="M12" i="5"/>
  <c r="C14" i="5"/>
  <c r="U11" i="5"/>
  <c r="K13" i="5"/>
  <c r="T11" i="5"/>
  <c r="J13" i="5"/>
  <c r="S11" i="5"/>
  <c r="I13" i="5"/>
  <c r="R11" i="5"/>
  <c r="H13" i="5"/>
  <c r="Q11" i="5"/>
  <c r="G13" i="5"/>
  <c r="P11" i="5"/>
  <c r="F13" i="5"/>
  <c r="O11" i="5"/>
  <c r="E13" i="5"/>
  <c r="N11" i="5"/>
  <c r="D13" i="5"/>
  <c r="M11" i="5"/>
  <c r="C13" i="5"/>
  <c r="L11" i="5"/>
  <c r="B13" i="5"/>
  <c r="L10" i="5"/>
  <c r="B12" i="5"/>
  <c r="G71" i="1"/>
  <c r="G70" i="1"/>
  <c r="U14" i="5" l="1"/>
  <c r="K16" i="5"/>
  <c r="T14" i="5"/>
  <c r="J16" i="5"/>
  <c r="S14" i="5"/>
  <c r="I16" i="5"/>
  <c r="R14" i="5"/>
  <c r="H16" i="5"/>
  <c r="Q14" i="5"/>
  <c r="G16" i="5"/>
  <c r="P14" i="5"/>
  <c r="F16" i="5"/>
  <c r="O14" i="5"/>
  <c r="E16" i="5"/>
  <c r="N14" i="5"/>
  <c r="D16" i="5"/>
  <c r="M14" i="5"/>
  <c r="C16" i="5"/>
  <c r="U13" i="5"/>
  <c r="K15" i="5"/>
  <c r="T13" i="5"/>
  <c r="J15" i="5"/>
  <c r="S13" i="5"/>
  <c r="I15" i="5"/>
  <c r="R13" i="5"/>
  <c r="H15" i="5"/>
  <c r="Q13" i="5"/>
  <c r="G15" i="5"/>
  <c r="P13" i="5"/>
  <c r="F15" i="5"/>
  <c r="O13" i="5"/>
  <c r="E15" i="5"/>
  <c r="N13" i="5"/>
  <c r="D15" i="5"/>
  <c r="M13" i="5"/>
  <c r="C15" i="5"/>
  <c r="L13" i="5"/>
  <c r="B15" i="5"/>
  <c r="L12" i="5"/>
  <c r="B14" i="5"/>
  <c r="G72" i="1"/>
  <c r="U16" i="5" l="1"/>
  <c r="K18" i="5"/>
  <c r="T16" i="5"/>
  <c r="J18" i="5"/>
  <c r="S16" i="5"/>
  <c r="I18" i="5"/>
  <c r="R16" i="5"/>
  <c r="H18" i="5"/>
  <c r="Q16" i="5"/>
  <c r="G18" i="5"/>
  <c r="P16" i="5"/>
  <c r="F18" i="5"/>
  <c r="O16" i="5"/>
  <c r="E18" i="5"/>
  <c r="N16" i="5"/>
  <c r="D18" i="5"/>
  <c r="M16" i="5"/>
  <c r="C18" i="5"/>
  <c r="U15" i="5"/>
  <c r="K17" i="5"/>
  <c r="T15" i="5"/>
  <c r="J17" i="5"/>
  <c r="S15" i="5"/>
  <c r="I17" i="5"/>
  <c r="R15" i="5"/>
  <c r="H17" i="5"/>
  <c r="Q15" i="5"/>
  <c r="G17" i="5"/>
  <c r="P15" i="5"/>
  <c r="F17" i="5"/>
  <c r="O15" i="5"/>
  <c r="E17" i="5"/>
  <c r="N15" i="5"/>
  <c r="D17" i="5"/>
  <c r="M15" i="5"/>
  <c r="C17" i="5"/>
  <c r="L15" i="5"/>
  <c r="B17" i="5"/>
  <c r="L14" i="5"/>
  <c r="B16" i="5"/>
  <c r="G73" i="1"/>
  <c r="U18" i="5" l="1"/>
  <c r="K20" i="5"/>
  <c r="T18" i="5"/>
  <c r="J20" i="5"/>
  <c r="S18" i="5"/>
  <c r="I20" i="5"/>
  <c r="R18" i="5"/>
  <c r="H20" i="5"/>
  <c r="Q18" i="5"/>
  <c r="G20" i="5"/>
  <c r="P18" i="5"/>
  <c r="F20" i="5"/>
  <c r="O18" i="5"/>
  <c r="E20" i="5"/>
  <c r="N18" i="5"/>
  <c r="D20" i="5"/>
  <c r="M18" i="5"/>
  <c r="C20" i="5"/>
  <c r="U17" i="5"/>
  <c r="K19" i="5"/>
  <c r="T17" i="5"/>
  <c r="J19" i="5"/>
  <c r="S17" i="5"/>
  <c r="I19" i="5"/>
  <c r="R17" i="5"/>
  <c r="H19" i="5"/>
  <c r="Q17" i="5"/>
  <c r="G19" i="5"/>
  <c r="P17" i="5"/>
  <c r="F19" i="5"/>
  <c r="O17" i="5"/>
  <c r="E19" i="5"/>
  <c r="N17" i="5"/>
  <c r="D19" i="5"/>
  <c r="M17" i="5"/>
  <c r="C19" i="5"/>
  <c r="L17" i="5"/>
  <c r="B19" i="5"/>
  <c r="L16" i="5"/>
  <c r="B18" i="5"/>
  <c r="G264" i="1"/>
  <c r="U20" i="5" l="1"/>
  <c r="K22" i="5"/>
  <c r="T20" i="5"/>
  <c r="J22" i="5"/>
  <c r="S20" i="5"/>
  <c r="I22" i="5"/>
  <c r="R20" i="5"/>
  <c r="H22" i="5"/>
  <c r="Q20" i="5"/>
  <c r="G22" i="5"/>
  <c r="P20" i="5"/>
  <c r="F22" i="5"/>
  <c r="O20" i="5"/>
  <c r="E22" i="5"/>
  <c r="N20" i="5"/>
  <c r="D22" i="5"/>
  <c r="M20" i="5"/>
  <c r="C22" i="5"/>
  <c r="U19" i="5"/>
  <c r="K21" i="5"/>
  <c r="T19" i="5"/>
  <c r="J21" i="5"/>
  <c r="S19" i="5"/>
  <c r="I21" i="5"/>
  <c r="R19" i="5"/>
  <c r="H21" i="5"/>
  <c r="Q19" i="5"/>
  <c r="G21" i="5"/>
  <c r="P19" i="5"/>
  <c r="F21" i="5"/>
  <c r="O19" i="5"/>
  <c r="E21" i="5"/>
  <c r="N19" i="5"/>
  <c r="D21" i="5"/>
  <c r="M19" i="5"/>
  <c r="C21" i="5"/>
  <c r="L19" i="5"/>
  <c r="B21" i="5"/>
  <c r="L18" i="5"/>
  <c r="B20" i="5"/>
  <c r="G253" i="1"/>
  <c r="G212" i="1"/>
  <c r="G210" i="1"/>
  <c r="G113" i="1"/>
  <c r="G99" i="1"/>
  <c r="G168" i="1"/>
  <c r="G309" i="1"/>
  <c r="G98" i="1"/>
  <c r="G186" i="1"/>
  <c r="G126" i="1"/>
  <c r="G91" i="1"/>
  <c r="G130" i="1"/>
  <c r="G219" i="1"/>
  <c r="G326" i="1"/>
  <c r="G149" i="1"/>
  <c r="G269" i="1"/>
  <c r="G164" i="1"/>
  <c r="G295" i="1"/>
  <c r="G108" i="1"/>
  <c r="G285" i="1"/>
  <c r="G306" i="1"/>
  <c r="G157" i="1"/>
  <c r="G128" i="1"/>
  <c r="G80" i="1"/>
  <c r="G313" i="1"/>
  <c r="G188" i="1"/>
  <c r="G243" i="1"/>
  <c r="G270" i="1"/>
  <c r="G106" i="1"/>
  <c r="G258" i="1"/>
  <c r="G288" i="1"/>
  <c r="G77" i="1"/>
  <c r="G237" i="1"/>
  <c r="G163" i="1"/>
  <c r="G195" i="1"/>
  <c r="G132" i="1"/>
  <c r="G151" i="1"/>
  <c r="G314" i="1"/>
  <c r="G105" i="1"/>
  <c r="G296" i="1"/>
  <c r="G138" i="1"/>
  <c r="G272" i="1"/>
  <c r="G223" i="1"/>
  <c r="G301" i="1"/>
  <c r="G221" i="1"/>
  <c r="G120" i="1"/>
  <c r="G299" i="1"/>
  <c r="G137" i="1"/>
  <c r="G298" i="1"/>
  <c r="G206" i="1"/>
  <c r="G311" i="1"/>
  <c r="G84" i="1"/>
  <c r="G82" i="1"/>
  <c r="G96" i="1"/>
  <c r="G247" i="1"/>
  <c r="G150" i="1"/>
  <c r="G129" i="1"/>
  <c r="G319" i="1"/>
  <c r="G198" i="1"/>
  <c r="G320" i="1"/>
  <c r="G94" i="1"/>
  <c r="G114" i="1"/>
  <c r="G302" i="1"/>
  <c r="G109" i="1"/>
  <c r="G330" i="1"/>
  <c r="G318" i="1"/>
  <c r="G329" i="1"/>
  <c r="G214" i="1"/>
  <c r="G148" i="1"/>
  <c r="G87" i="1"/>
  <c r="G316" i="1"/>
  <c r="G257" i="1"/>
  <c r="G226" i="1"/>
  <c r="G325" i="1"/>
  <c r="G160" i="1"/>
  <c r="G204" i="1"/>
  <c r="G209" i="1"/>
  <c r="G217" i="1"/>
  <c r="G250" i="1"/>
  <c r="G85" i="1"/>
  <c r="G268" i="1"/>
  <c r="G172" i="1"/>
  <c r="G241" i="1"/>
  <c r="G262" i="1"/>
  <c r="G304" i="1"/>
  <c r="G276" i="1"/>
  <c r="G104" i="1"/>
  <c r="G78" i="1"/>
  <c r="G116" i="1"/>
  <c r="G327" i="1"/>
  <c r="G256" i="1"/>
  <c r="G93" i="1"/>
  <c r="G184" i="1"/>
  <c r="G242" i="1"/>
  <c r="G123" i="1"/>
  <c r="G208" i="1"/>
  <c r="G181" i="1"/>
  <c r="G245" i="1"/>
  <c r="G244" i="1"/>
  <c r="G90" i="1"/>
  <c r="G220" i="1"/>
  <c r="G224" i="1"/>
  <c r="G255" i="1"/>
  <c r="G201" i="1"/>
  <c r="G246" i="1"/>
  <c r="G293" i="1"/>
  <c r="G300" i="1"/>
  <c r="G294" i="1"/>
  <c r="G331" i="1"/>
  <c r="G100" i="1"/>
  <c r="G281" i="1"/>
  <c r="G156" i="1"/>
  <c r="G267" i="1"/>
  <c r="G83" i="1"/>
  <c r="G142" i="1"/>
  <c r="G182" i="1"/>
  <c r="G124" i="1"/>
  <c r="G88" i="1"/>
  <c r="G133" i="1"/>
  <c r="G303" i="1"/>
  <c r="G323" i="1"/>
  <c r="G286" i="1"/>
  <c r="G187" i="1"/>
  <c r="G328" i="1"/>
  <c r="G125" i="1"/>
  <c r="G95" i="1"/>
  <c r="G312" i="1"/>
  <c r="G263" i="1"/>
  <c r="G240" i="1"/>
  <c r="G279" i="1"/>
  <c r="G278" i="1"/>
  <c r="G155" i="1"/>
  <c r="G165" i="1"/>
  <c r="G200" i="1"/>
  <c r="G183" i="1"/>
  <c r="G97" i="1"/>
  <c r="G178" i="1"/>
  <c r="G275" i="1"/>
  <c r="G284" i="1"/>
  <c r="G297" i="1"/>
  <c r="G236" i="1"/>
  <c r="G147" i="1"/>
  <c r="G207" i="1"/>
  <c r="G239" i="1"/>
  <c r="G111" i="1"/>
  <c r="G235" i="1"/>
  <c r="G158" i="1"/>
  <c r="G218" i="1"/>
  <c r="G249" i="1"/>
  <c r="G287" i="1"/>
  <c r="G107" i="1"/>
  <c r="G265" i="1"/>
  <c r="G145" i="1"/>
  <c r="G121" i="1"/>
  <c r="G260" i="1"/>
  <c r="G305" i="1"/>
  <c r="G280" i="1"/>
  <c r="G193" i="1"/>
  <c r="G159" i="1"/>
  <c r="G101" i="1"/>
  <c r="G86" i="1"/>
  <c r="G266" i="1"/>
  <c r="G273" i="1"/>
  <c r="G199" i="1"/>
  <c r="G74" i="1"/>
  <c r="G131" i="1"/>
  <c r="G261" i="1"/>
  <c r="G79" i="1"/>
  <c r="G118" i="1"/>
  <c r="G317" i="1"/>
  <c r="G162" i="1"/>
  <c r="G271" i="1"/>
  <c r="G92" i="1"/>
  <c r="G154" i="1"/>
  <c r="G308" i="1"/>
  <c r="G252" i="1"/>
  <c r="G282" i="1"/>
  <c r="G103" i="1"/>
  <c r="G174" i="1"/>
  <c r="G110" i="1"/>
  <c r="G75" i="1"/>
  <c r="G324" i="1"/>
  <c r="G144" i="1"/>
  <c r="G248" i="1"/>
  <c r="G254" i="1"/>
  <c r="G180" i="1"/>
  <c r="G322" i="1"/>
  <c r="G161" i="1"/>
  <c r="G152" i="1"/>
  <c r="G233" i="1"/>
  <c r="G202" i="1"/>
  <c r="G292" i="1"/>
  <c r="G122" i="1"/>
  <c r="G216" i="1"/>
  <c r="G119" i="1"/>
  <c r="G291" i="1"/>
  <c r="G115" i="1"/>
  <c r="G274" i="1"/>
  <c r="G310" i="1"/>
  <c r="G112" i="1"/>
  <c r="G283" i="1"/>
  <c r="G196" i="1"/>
  <c r="G117" i="1"/>
  <c r="G135" i="1"/>
  <c r="G139" i="1"/>
  <c r="G140" i="1"/>
  <c r="G141" i="1"/>
  <c r="G143" i="1"/>
  <c r="G177" i="1"/>
  <c r="G134" i="1"/>
  <c r="G153" i="1"/>
  <c r="G81" i="1"/>
  <c r="G171" i="1"/>
  <c r="G315" i="1"/>
  <c r="G205" i="1"/>
  <c r="G190" i="1"/>
  <c r="G277" i="1"/>
  <c r="G251" i="1"/>
  <c r="G307" i="1"/>
  <c r="G136" i="1"/>
  <c r="G191" i="1"/>
  <c r="G102" i="1"/>
  <c r="G173" i="1"/>
  <c r="G76" i="1"/>
  <c r="G89" i="1"/>
  <c r="G234" i="1"/>
  <c r="G232" i="1"/>
  <c r="G259" i="1"/>
  <c r="G213" i="1"/>
  <c r="G169" i="1"/>
  <c r="G290" i="1"/>
  <c r="G167" i="1"/>
  <c r="G176" i="1"/>
  <c r="G289" i="1"/>
  <c r="G166" i="1"/>
  <c r="G229" i="1"/>
  <c r="G238" i="1"/>
  <c r="G127" i="1"/>
  <c r="G146" i="1"/>
  <c r="G321" i="1"/>
  <c r="U22" i="5" l="1"/>
  <c r="K24" i="5"/>
  <c r="U24" i="5" s="1"/>
  <c r="T22" i="5"/>
  <c r="J24" i="5"/>
  <c r="T24" i="5" s="1"/>
  <c r="S22" i="5"/>
  <c r="I24" i="5"/>
  <c r="S24" i="5" s="1"/>
  <c r="R22" i="5"/>
  <c r="H24" i="5"/>
  <c r="R24" i="5" s="1"/>
  <c r="Q22" i="5"/>
  <c r="G24" i="5"/>
  <c r="Q24" i="5" s="1"/>
  <c r="P22" i="5"/>
  <c r="F24" i="5"/>
  <c r="P24" i="5" s="1"/>
  <c r="O22" i="5"/>
  <c r="E24" i="5"/>
  <c r="O24" i="5" s="1"/>
  <c r="N22" i="5"/>
  <c r="D24" i="5"/>
  <c r="N24" i="5" s="1"/>
  <c r="M22" i="5"/>
  <c r="C24" i="5"/>
  <c r="M24" i="5" s="1"/>
  <c r="U21" i="5"/>
  <c r="K23" i="5"/>
  <c r="T21" i="5"/>
  <c r="J23" i="5"/>
  <c r="S21" i="5"/>
  <c r="I23" i="5"/>
  <c r="R21" i="5"/>
  <c r="H23" i="5"/>
  <c r="Q21" i="5"/>
  <c r="G23" i="5"/>
  <c r="P21" i="5"/>
  <c r="F23" i="5"/>
  <c r="O21" i="5"/>
  <c r="E23" i="5"/>
  <c r="N21" i="5"/>
  <c r="D23" i="5"/>
  <c r="M21" i="5"/>
  <c r="C23" i="5"/>
  <c r="L21" i="5"/>
  <c r="B23" i="5"/>
  <c r="L20" i="5"/>
  <c r="B22" i="5"/>
  <c r="U23" i="5" l="1"/>
  <c r="K25" i="5"/>
  <c r="U25" i="5" s="1"/>
  <c r="T23" i="5"/>
  <c r="J25" i="5"/>
  <c r="T25" i="5" s="1"/>
  <c r="S23" i="5"/>
  <c r="I25" i="5"/>
  <c r="S25" i="5" s="1"/>
  <c r="R23" i="5"/>
  <c r="H25" i="5"/>
  <c r="R25" i="5" s="1"/>
  <c r="Q23" i="5"/>
  <c r="G25" i="5"/>
  <c r="Q25" i="5" s="1"/>
  <c r="P23" i="5"/>
  <c r="F25" i="5"/>
  <c r="P25" i="5" s="1"/>
  <c r="O23" i="5"/>
  <c r="E25" i="5"/>
  <c r="O25" i="5" s="1"/>
  <c r="N23" i="5"/>
  <c r="D25" i="5"/>
  <c r="N25" i="5" s="1"/>
  <c r="M23" i="5"/>
  <c r="C25" i="5"/>
  <c r="M25" i="5" s="1"/>
  <c r="L23" i="5"/>
  <c r="B25" i="5"/>
  <c r="L25" i="5" s="1"/>
  <c r="L22" i="5"/>
  <c r="B24" i="5"/>
  <c r="L24" i="5" s="1"/>
</calcChain>
</file>

<file path=xl/sharedStrings.xml><?xml version="1.0" encoding="utf-8"?>
<sst xmlns="http://schemas.openxmlformats.org/spreadsheetml/2006/main" count="3135" uniqueCount="684">
  <si>
    <t>id</t>
  </si>
  <si>
    <t>name</t>
  </si>
  <si>
    <t>team</t>
  </si>
  <si>
    <t>position</t>
  </si>
  <si>
    <t>matches</t>
  </si>
  <si>
    <t>availability</t>
  </si>
  <si>
    <t>pts_avg_played</t>
  </si>
  <si>
    <t>pts_avg_all</t>
  </si>
  <si>
    <t>adp_position</t>
  </si>
  <si>
    <t>dvs_position_adj</t>
  </si>
  <si>
    <t>dvs_position</t>
  </si>
  <si>
    <t>pts_z_played__vs_top_position</t>
  </si>
  <si>
    <t>pts_z_all__vs_top_position</t>
  </si>
  <si>
    <t>pts_avg_played__vs_top_position</t>
  </si>
  <si>
    <t>pts_avg_all__vs_top_position</t>
  </si>
  <si>
    <t>adp_general</t>
  </si>
  <si>
    <t>dvs_general_adj</t>
  </si>
  <si>
    <t>dvs_general</t>
  </si>
  <si>
    <t>pts_z_played__vs_top_general</t>
  </si>
  <si>
    <t>pts_z_all__vs_top_general</t>
  </si>
  <si>
    <t>pts_avg_played__vs_top_general</t>
  </si>
  <si>
    <t>pts_avg_all__vs_top_general</t>
  </si>
  <si>
    <t>Fábio</t>
  </si>
  <si>
    <t>FLU</t>
  </si>
  <si>
    <t>GK</t>
  </si>
  <si>
    <t>Hulk</t>
  </si>
  <si>
    <t>CAM</t>
  </si>
  <si>
    <t>AT</t>
  </si>
  <si>
    <t>Alan Franco</t>
  </si>
  <si>
    <t>MD</t>
  </si>
  <si>
    <t>Willian</t>
  </si>
  <si>
    <t>GRE</t>
  </si>
  <si>
    <t>Osvaldo</t>
  </si>
  <si>
    <t>VIT</t>
  </si>
  <si>
    <t>Cássio</t>
  </si>
  <si>
    <t>CRU</t>
  </si>
  <si>
    <t>Fagner</t>
  </si>
  <si>
    <t>FB</t>
  </si>
  <si>
    <t>Gabriel Leite</t>
  </si>
  <si>
    <t>CFC</t>
  </si>
  <si>
    <t>Walter</t>
  </si>
  <si>
    <t>MIR</t>
  </si>
  <si>
    <t>Giuliano</t>
  </si>
  <si>
    <t>CAP</t>
  </si>
  <si>
    <t>Everton Ribeiro</t>
  </si>
  <si>
    <t>BAH</t>
  </si>
  <si>
    <t>Alex Sandro</t>
  </si>
  <si>
    <t>FLA</t>
  </si>
  <si>
    <t>Ganso</t>
  </si>
  <si>
    <t>Neymar</t>
  </si>
  <si>
    <t>SAN</t>
  </si>
  <si>
    <t>Rafael Tolói</t>
  </si>
  <si>
    <t>SAO</t>
  </si>
  <si>
    <t>CB</t>
  </si>
  <si>
    <t>Marcos Rocha</t>
  </si>
  <si>
    <t>Edenílson</t>
  </si>
  <si>
    <t>Rodrigo Moledo</t>
  </si>
  <si>
    <t>Alan Patrick</t>
  </si>
  <si>
    <t>INT</t>
  </si>
  <si>
    <t>Eduardo</t>
  </si>
  <si>
    <t>Neto</t>
  </si>
  <si>
    <t>BOT</t>
  </si>
  <si>
    <t>Rafael Santos</t>
  </si>
  <si>
    <t>CHA</t>
  </si>
  <si>
    <t>Marcelo Lomba</t>
  </si>
  <si>
    <t>PAL</t>
  </si>
  <si>
    <t>Philippe Coutinho</t>
  </si>
  <si>
    <t>VAS</t>
  </si>
  <si>
    <t>Dudu</t>
  </si>
  <si>
    <t>Rafael</t>
  </si>
  <si>
    <t>Giovanni Augusto</t>
  </si>
  <si>
    <t>Willian José</t>
  </si>
  <si>
    <t>Santos</t>
  </si>
  <si>
    <t>Allan</t>
  </si>
  <si>
    <t>Danilo</t>
  </si>
  <si>
    <t>Lucas Moura</t>
  </si>
  <si>
    <t>Eduardo Sasha</t>
  </si>
  <si>
    <t>RBB</t>
  </si>
  <si>
    <t>Felipe Anderson</t>
  </si>
  <si>
    <t>Bruno Henrique</t>
  </si>
  <si>
    <t>Jean Carlos</t>
  </si>
  <si>
    <t>Léo Vieira</t>
  </si>
  <si>
    <t>Thiago Mendes</t>
  </si>
  <si>
    <t>Maicon</t>
  </si>
  <si>
    <t>Weverton</t>
  </si>
  <si>
    <t>Gustavo Gómez</t>
  </si>
  <si>
    <t>Cuéllar</t>
  </si>
  <si>
    <t>Tiago Volpi</t>
  </si>
  <si>
    <t>Thomazella</t>
  </si>
  <si>
    <t>Everson</t>
  </si>
  <si>
    <t>Bernard</t>
  </si>
  <si>
    <t>Bressan</t>
  </si>
  <si>
    <t>Alex Telles</t>
  </si>
  <si>
    <t>Vitor Hugo</t>
  </si>
  <si>
    <t>Mercado</t>
  </si>
  <si>
    <t>Daniel Borges</t>
  </si>
  <si>
    <t>Samuel Xavier</t>
  </si>
  <si>
    <t>Rincón</t>
  </si>
  <si>
    <t>Carrillo</t>
  </si>
  <si>
    <t>COR</t>
  </si>
  <si>
    <t>Cédric Soares</t>
  </si>
  <si>
    <t>João Schmidt</t>
  </si>
  <si>
    <t>Madson</t>
  </si>
  <si>
    <t>Everaldo</t>
  </si>
  <si>
    <t>Gustavo Henrique</t>
  </si>
  <si>
    <t>Vitinho</t>
  </si>
  <si>
    <t>Renê</t>
  </si>
  <si>
    <t>Willian Arão</t>
  </si>
  <si>
    <t>Gabriel</t>
  </si>
  <si>
    <t>Reinaldo</t>
  </si>
  <si>
    <t>Thiago Santos</t>
  </si>
  <si>
    <t>Dória</t>
  </si>
  <si>
    <t>Alex Muralha</t>
  </si>
  <si>
    <t>Cano</t>
  </si>
  <si>
    <t>Lucas Silva</t>
  </si>
  <si>
    <t>Saúl</t>
  </si>
  <si>
    <t>Jadson</t>
  </si>
  <si>
    <t>Yago Pikachu</t>
  </si>
  <si>
    <t>REM</t>
  </si>
  <si>
    <t>Luciano</t>
  </si>
  <si>
    <t>Gilberto</t>
  </si>
  <si>
    <t>Wendell</t>
  </si>
  <si>
    <t>André Luis</t>
  </si>
  <si>
    <t>Jair</t>
  </si>
  <si>
    <t>Lucas Mugni</t>
  </si>
  <si>
    <t>Mayke</t>
  </si>
  <si>
    <t>Alisson</t>
  </si>
  <si>
    <t>Willian Oliveira</t>
  </si>
  <si>
    <t>Zé Rafael</t>
  </si>
  <si>
    <t>Otávio</t>
  </si>
  <si>
    <t>Luiz Araújo</t>
  </si>
  <si>
    <t>Tinga</t>
  </si>
  <si>
    <t>Marcelo Rangel</t>
  </si>
  <si>
    <t>Lucas Ramon</t>
  </si>
  <si>
    <t>Rafael Thyere</t>
  </si>
  <si>
    <t>Ygor Vinhas</t>
  </si>
  <si>
    <t>Alan Benítez</t>
  </si>
  <si>
    <t>Yuri Lara</t>
  </si>
  <si>
    <t>Léo Pereira</t>
  </si>
  <si>
    <t>Neris</t>
  </si>
  <si>
    <t>Tiquinho Soares</t>
  </si>
  <si>
    <t>Bruno Melo</t>
  </si>
  <si>
    <t>Fernando Sobral</t>
  </si>
  <si>
    <t>Lucas Romero</t>
  </si>
  <si>
    <t>Josué</t>
  </si>
  <si>
    <t>Lucas Evangelista</t>
  </si>
  <si>
    <t>Panagiotis Tachtsidis</t>
  </si>
  <si>
    <t>Jorginho</t>
  </si>
  <si>
    <t>Varela</t>
  </si>
  <si>
    <t>Luan Peres</t>
  </si>
  <si>
    <t>Dodô</t>
  </si>
  <si>
    <t>Memphis Depay</t>
  </si>
  <si>
    <t>Cantillo</t>
  </si>
  <si>
    <t>Danielzinho</t>
  </si>
  <si>
    <t>João Paulo</t>
  </si>
  <si>
    <t>Léo</t>
  </si>
  <si>
    <t>Bolasie</t>
  </si>
  <si>
    <t>Victor Luis</t>
  </si>
  <si>
    <t>Keno</t>
  </si>
  <si>
    <t>Tchê Tchê</t>
  </si>
  <si>
    <t>Richard</t>
  </si>
  <si>
    <t>Everton</t>
  </si>
  <si>
    <t>Luiz Otávio</t>
  </si>
  <si>
    <t>Léo Jardim</t>
  </si>
  <si>
    <t>Pedro Henrique</t>
  </si>
  <si>
    <t>Guilherme Arana</t>
  </si>
  <si>
    <t>Soteldo</t>
  </si>
  <si>
    <t>Kannemann</t>
  </si>
  <si>
    <t>Thaciano</t>
  </si>
  <si>
    <t>Neto Moura</t>
  </si>
  <si>
    <t>Arrascaeta</t>
  </si>
  <si>
    <t>Balbuena</t>
  </si>
  <si>
    <t>Gustavo Scarpa</t>
  </si>
  <si>
    <t>Jorge</t>
  </si>
  <si>
    <t>Ivan</t>
  </si>
  <si>
    <t>Neto Pessoa</t>
  </si>
  <si>
    <t>Junior Alonso</t>
  </si>
  <si>
    <t>Ayrton Lucas</t>
  </si>
  <si>
    <t>Walace</t>
  </si>
  <si>
    <t>João Pedro</t>
  </si>
  <si>
    <t>Andreas Pereira</t>
  </si>
  <si>
    <t>William</t>
  </si>
  <si>
    <t>Braithwaite</t>
  </si>
  <si>
    <t>Igor Rabello</t>
  </si>
  <si>
    <t>Thiago Maia</t>
  </si>
  <si>
    <t>Lucho Acosta</t>
  </si>
  <si>
    <t>Calleri</t>
  </si>
  <si>
    <t>Cristaldo</t>
  </si>
  <si>
    <t>Dodi</t>
  </si>
  <si>
    <t>Mendoza</t>
  </si>
  <si>
    <t>Bruno Pacheco</t>
  </si>
  <si>
    <t>Pedro Rocha</t>
  </si>
  <si>
    <t>David</t>
  </si>
  <si>
    <t>Rezende</t>
  </si>
  <si>
    <t>Arthur Melo</t>
  </si>
  <si>
    <t>Caíque</t>
  </si>
  <si>
    <t>Matheuzinho</t>
  </si>
  <si>
    <t>Luiz Fernando</t>
  </si>
  <si>
    <t>Fabrício Bruno</t>
  </si>
  <si>
    <t>Klaus</t>
  </si>
  <si>
    <t>Carlos Eduardo</t>
  </si>
  <si>
    <t>Zé Marcos</t>
  </si>
  <si>
    <t>Ronaldo</t>
  </si>
  <si>
    <t>Erick Pulgar</t>
  </si>
  <si>
    <t>Arboleda</t>
  </si>
  <si>
    <t>Rony</t>
  </si>
  <si>
    <t>Igor Cariús</t>
  </si>
  <si>
    <t>Marlon</t>
  </si>
  <si>
    <t>David Duarte</t>
  </si>
  <si>
    <t>Zé Ivaldo</t>
  </si>
  <si>
    <t>Pavón</t>
  </si>
  <si>
    <t>Lyanco</t>
  </si>
  <si>
    <t>Arthur Cabral</t>
  </si>
  <si>
    <t>Juninho</t>
  </si>
  <si>
    <t>Rodrigo Ely</t>
  </si>
  <si>
    <t>André Ramalho</t>
  </si>
  <si>
    <t>Raul</t>
  </si>
  <si>
    <t>Renato Kayzer</t>
  </si>
  <si>
    <t>Bruno Rodrigues</t>
  </si>
  <si>
    <t>Borré</t>
  </si>
  <si>
    <t>João Basso</t>
  </si>
  <si>
    <t>Cantalapiedra</t>
  </si>
  <si>
    <t>Wanderson</t>
  </si>
  <si>
    <t>Paulo Henrique</t>
  </si>
  <si>
    <t>Marlon Freitas</t>
  </si>
  <si>
    <t>Cleiton</t>
  </si>
  <si>
    <t>Matheus Fernandes</t>
  </si>
  <si>
    <t>Maycon</t>
  </si>
  <si>
    <t>Perotti</t>
  </si>
  <si>
    <t>Raphael Veiga</t>
  </si>
  <si>
    <t>Lucas Oliveira</t>
  </si>
  <si>
    <t>Pedro</t>
  </si>
  <si>
    <t>Juninho Capixaba</t>
  </si>
  <si>
    <t>Marcinho</t>
  </si>
  <si>
    <t>Igor Vinícius</t>
  </si>
  <si>
    <t>Sávio</t>
  </si>
  <si>
    <t>Raniele</t>
  </si>
  <si>
    <t>Bruno Leonardo</t>
  </si>
  <si>
    <t>Artur</t>
  </si>
  <si>
    <t>Daniel Fuzato</t>
  </si>
  <si>
    <t>Lima</t>
  </si>
  <si>
    <t>Charles</t>
  </si>
  <si>
    <t>Joaquín Correa</t>
  </si>
  <si>
    <t>Renan Lodi</t>
  </si>
  <si>
    <t>Matheus Pereira</t>
  </si>
  <si>
    <t>Camutanga</t>
  </si>
  <si>
    <t>Carlinhos</t>
  </si>
  <si>
    <t>Emerson Royal</t>
  </si>
  <si>
    <t>Carlos Cuesta</t>
  </si>
  <si>
    <t>Villasanti</t>
  </si>
  <si>
    <t>Alesson</t>
  </si>
  <si>
    <t>Victor Caetano</t>
  </si>
  <si>
    <t>João Victor</t>
  </si>
  <si>
    <t>Marçal</t>
  </si>
  <si>
    <t>Shaylon</t>
  </si>
  <si>
    <t>Félix Torres</t>
  </si>
  <si>
    <t>Thiago Couto</t>
  </si>
  <si>
    <t>Murilo</t>
  </si>
  <si>
    <t>Giovanni Pavani</t>
  </si>
  <si>
    <t>Marcelinho</t>
  </si>
  <si>
    <t>Erick</t>
  </si>
  <si>
    <t>Léo Ortiz</t>
  </si>
  <si>
    <t>Iago</t>
  </si>
  <si>
    <t>Jacy</t>
  </si>
  <si>
    <t>Vitão</t>
  </si>
  <si>
    <t>Marcos Vinícius</t>
  </si>
  <si>
    <t>Jáderson</t>
  </si>
  <si>
    <t>Pedro Raul</t>
  </si>
  <si>
    <t>Bastos</t>
  </si>
  <si>
    <t>Negueba</t>
  </si>
  <si>
    <t>Kanu</t>
  </si>
  <si>
    <t>Jean Lucas</t>
  </si>
  <si>
    <t>Savarino</t>
  </si>
  <si>
    <t>Angileri</t>
  </si>
  <si>
    <t>Samuel Lino</t>
  </si>
  <si>
    <t>Cuello</t>
  </si>
  <si>
    <t>Rodrigo Rodrigues</t>
  </si>
  <si>
    <t>Vegetti</t>
  </si>
  <si>
    <t>Puma Rodríguez</t>
  </si>
  <si>
    <t>De la Cruz</t>
  </si>
  <si>
    <t>Alexander Barboza</t>
  </si>
  <si>
    <t>Michael</t>
  </si>
  <si>
    <t>Baralhas</t>
  </si>
  <si>
    <t>Rossi</t>
  </si>
  <si>
    <t>Paulinho</t>
  </si>
  <si>
    <t>Igor Gomes</t>
  </si>
  <si>
    <t>Yuri Alberto</t>
  </si>
  <si>
    <t>Fernando</t>
  </si>
  <si>
    <t>Matheus Henrique</t>
  </si>
  <si>
    <t>Ruan</t>
  </si>
  <si>
    <t>Lucas Esteves</t>
  </si>
  <si>
    <t>Luan Cândido</t>
  </si>
  <si>
    <t>Ronald Lopes</t>
  </si>
  <si>
    <t>Nonato</t>
  </si>
  <si>
    <t>Júnior Santos</t>
  </si>
  <si>
    <t>Alef Manga</t>
  </si>
  <si>
    <t>Ferreira</t>
  </si>
  <si>
    <t>Ademir</t>
  </si>
  <si>
    <t>Guga</t>
  </si>
  <si>
    <t>Eduardo Doma</t>
  </si>
  <si>
    <t>Wallisson</t>
  </si>
  <si>
    <t>Marcelo Pitaluga</t>
  </si>
  <si>
    <t>Hugo Souza</t>
  </si>
  <si>
    <t>Hugo Moura</t>
  </si>
  <si>
    <t>Ramon</t>
  </si>
  <si>
    <t>Felipe Jonatan</t>
  </si>
  <si>
    <t>Marrony</t>
  </si>
  <si>
    <t>Claudinho</t>
  </si>
  <si>
    <t>Willian Machado</t>
  </si>
  <si>
    <t>Piquerez</t>
  </si>
  <si>
    <t>Vitor Eudes</t>
  </si>
  <si>
    <t>Rollheiser</t>
  </si>
  <si>
    <t>Caio Paulista</t>
  </si>
  <si>
    <t>Cacá</t>
  </si>
  <si>
    <t>Mastriani</t>
  </si>
  <si>
    <t>Nathan Fogaça</t>
  </si>
  <si>
    <t>Julimar</t>
  </si>
  <si>
    <t>Anderson</t>
  </si>
  <si>
    <t>Zé Ricardo</t>
  </si>
  <si>
    <t>Canobbio</t>
  </si>
  <si>
    <t>Facundo Torres</t>
  </si>
  <si>
    <t>Escobar</t>
  </si>
  <si>
    <t>Laquintana</t>
  </si>
  <si>
    <t>Gabriel Brazão</t>
  </si>
  <si>
    <t>Chris Ramos</t>
  </si>
  <si>
    <t>Eric Ramires</t>
  </si>
  <si>
    <t>Kaio Jorge</t>
  </si>
  <si>
    <t>Ignácio</t>
  </si>
  <si>
    <t>Gabriel Fuentes</t>
  </si>
  <si>
    <t>Gabriel Menino</t>
  </si>
  <si>
    <t>Higor Meritão</t>
  </si>
  <si>
    <t>Sabino</t>
  </si>
  <si>
    <t>Carlos Miguel</t>
  </si>
  <si>
    <t>Bruno Fuchs</t>
  </si>
  <si>
    <t>Lucas Arcanjo</t>
  </si>
  <si>
    <t>Edson Carioca</t>
  </si>
  <si>
    <t>João Lucas</t>
  </si>
  <si>
    <t>Christian</t>
  </si>
  <si>
    <t>Camilo</t>
  </si>
  <si>
    <t>Fabrício</t>
  </si>
  <si>
    <t>Newton</t>
  </si>
  <si>
    <t>Enzo Díaz</t>
  </si>
  <si>
    <t>Acevedo</t>
  </si>
  <si>
    <t>Sebastián Gómez</t>
  </si>
  <si>
    <t>Wagner Leonardo</t>
  </si>
  <si>
    <t>João Marcelo</t>
  </si>
  <si>
    <t>Reinier</t>
  </si>
  <si>
    <t>Alexis Duarte</t>
  </si>
  <si>
    <t>Khellven</t>
  </si>
  <si>
    <t>Sant Anna</t>
  </si>
  <si>
    <t>Santiago Rodríguez</t>
  </si>
  <si>
    <t>Gabriel Xavier</t>
  </si>
  <si>
    <t>Carrascal</t>
  </si>
  <si>
    <t>Renan Peixoto</t>
  </si>
  <si>
    <t>Matheus Bidu</t>
  </si>
  <si>
    <t>Carlos Vinícius</t>
  </si>
  <si>
    <t>Lucas Piton</t>
  </si>
  <si>
    <t>Maurício</t>
  </si>
  <si>
    <t>Walter Clar</t>
  </si>
  <si>
    <t>Luan Freitas</t>
  </si>
  <si>
    <t>Belezi</t>
  </si>
  <si>
    <t>José Aldo</t>
  </si>
  <si>
    <t>Rochet</t>
  </si>
  <si>
    <t>Santiago Mingo</t>
  </si>
  <si>
    <t>Coronel</t>
  </si>
  <si>
    <t>Enamorado</t>
  </si>
  <si>
    <t>Lucão</t>
  </si>
  <si>
    <t>Bruno Gomes</t>
  </si>
  <si>
    <t>Marcos Antônio</t>
  </si>
  <si>
    <t>Caio Alexandre</t>
  </si>
  <si>
    <t>Eduardo Santos</t>
  </si>
  <si>
    <t>Villalba</t>
  </si>
  <si>
    <t>Rodrigo Nestor</t>
  </si>
  <si>
    <t>Luciano Juba</t>
  </si>
  <si>
    <t>Jeffinho</t>
  </si>
  <si>
    <t>Patrick de Paula</t>
  </si>
  <si>
    <t>Michel Araújo</t>
  </si>
  <si>
    <t>Bruno Tabata</t>
  </si>
  <si>
    <t>Matheus Donelli</t>
  </si>
  <si>
    <t>Léo Linck</t>
  </si>
  <si>
    <t>Vanderlan</t>
  </si>
  <si>
    <t>Ênio</t>
  </si>
  <si>
    <t>Natanael</t>
  </si>
  <si>
    <t>Eduardo Melo</t>
  </si>
  <si>
    <t>Praxedes</t>
  </si>
  <si>
    <t>Bobadilla</t>
  </si>
  <si>
    <t>Hugo</t>
  </si>
  <si>
    <t>Terán</t>
  </si>
  <si>
    <t>Carbonero</t>
  </si>
  <si>
    <t>Isidro Pitta</t>
  </si>
  <si>
    <t>David Ricardo</t>
  </si>
  <si>
    <t>Adonis Frías</t>
  </si>
  <si>
    <t>Santi Moreno</t>
  </si>
  <si>
    <t>Aravena</t>
  </si>
  <si>
    <t>Tapia</t>
  </si>
  <si>
    <t>Garré</t>
  </si>
  <si>
    <t>Emiliano Martínez</t>
  </si>
  <si>
    <t>Galeano</t>
  </si>
  <si>
    <t>Plata</t>
  </si>
  <si>
    <t>Tiago Cóser</t>
  </si>
  <si>
    <t>Kike Saverio</t>
  </si>
  <si>
    <t>Rafael Carvalheira</t>
  </si>
  <si>
    <t>Erick Pulga</t>
  </si>
  <si>
    <t>Martinelli</t>
  </si>
  <si>
    <t>Monsalve</t>
  </si>
  <si>
    <t>José Martínez</t>
  </si>
  <si>
    <t>Bernabéi</t>
  </si>
  <si>
    <t>Aguirre</t>
  </si>
  <si>
    <t>Esquivel</t>
  </si>
  <si>
    <t>Mycael</t>
  </si>
  <si>
    <t>Pedro Rangel</t>
  </si>
  <si>
    <t>Andrés Hurtado</t>
  </si>
  <si>
    <t>Gustavo Marques</t>
  </si>
  <si>
    <t>John Kennedy</t>
  </si>
  <si>
    <t>Biel</t>
  </si>
  <si>
    <t>Alix Vinicius</t>
  </si>
  <si>
    <t>Mancha</t>
  </si>
  <si>
    <t>Gustavo Martins</t>
  </si>
  <si>
    <t>Victor Gabriel</t>
  </si>
  <si>
    <t>Adson</t>
  </si>
  <si>
    <t>Anthoni</t>
  </si>
  <si>
    <t>Matheus Cunha</t>
  </si>
  <si>
    <t>Ryan Guilherme</t>
  </si>
  <si>
    <t>Fabinho</t>
  </si>
  <si>
    <t>Jhonnathan</t>
  </si>
  <si>
    <t>Kayky</t>
  </si>
  <si>
    <t>Matheus Martins</t>
  </si>
  <si>
    <t>Jefté</t>
  </si>
  <si>
    <t>Mateusinho</t>
  </si>
  <si>
    <t>Diego Hernández</t>
  </si>
  <si>
    <t>Renzo López</t>
  </si>
  <si>
    <t>Felipinho</t>
  </si>
  <si>
    <t>Thalisson Gabriel</t>
  </si>
  <si>
    <t>Vini Paulista</t>
  </si>
  <si>
    <t>Gabriel Grando</t>
  </si>
  <si>
    <t>Kaiki Bruno</t>
  </si>
  <si>
    <t>Ramón Sosa</t>
  </si>
  <si>
    <t>Lucas Barbosa</t>
  </si>
  <si>
    <t>Freytes</t>
  </si>
  <si>
    <t>Flaco López</t>
  </si>
  <si>
    <t>Benavídez</t>
  </si>
  <si>
    <t>Nathan Mendes</t>
  </si>
  <si>
    <t>Marquinhos</t>
  </si>
  <si>
    <t>Pablo Maia</t>
  </si>
  <si>
    <t>Cristian Olivera</t>
  </si>
  <si>
    <t>Diógenes</t>
  </si>
  <si>
    <t>Sinisterra</t>
  </si>
  <si>
    <t>Vitor Roque</t>
  </si>
  <si>
    <t>Miguelito</t>
  </si>
  <si>
    <t>Matheus França</t>
  </si>
  <si>
    <t>Lucas Freitas</t>
  </si>
  <si>
    <t>Jhon Jhon</t>
  </si>
  <si>
    <t>Renan Viana</t>
  </si>
  <si>
    <t>Habraão</t>
  </si>
  <si>
    <t>Rodriguinho</t>
  </si>
  <si>
    <t>Gabriel Delfim</t>
  </si>
  <si>
    <t>Benassi</t>
  </si>
  <si>
    <t>Evertton Araújo</t>
  </si>
  <si>
    <t>Lelê</t>
  </si>
  <si>
    <t>Denilson</t>
  </si>
  <si>
    <t>Rubens</t>
  </si>
  <si>
    <t>Thiago Beltrame</t>
  </si>
  <si>
    <t>Hércules</t>
  </si>
  <si>
    <t>Jamerson</t>
  </si>
  <si>
    <t>Andrés Gómez</t>
  </si>
  <si>
    <t>Robert Renan</t>
  </si>
  <si>
    <t>Yago Ferreira</t>
  </si>
  <si>
    <t>Renato Marques</t>
  </si>
  <si>
    <t>Garro</t>
  </si>
  <si>
    <t>Young</t>
  </si>
  <si>
    <t>Breno Bidon</t>
  </si>
  <si>
    <t>Lavega</t>
  </si>
  <si>
    <t>Nathan Camargo</t>
  </si>
  <si>
    <t>Ronald</t>
  </si>
  <si>
    <t>Saldivia</t>
  </si>
  <si>
    <t>Mateus Carvalho</t>
  </si>
  <si>
    <t>Alexsander</t>
  </si>
  <si>
    <t>Lautaro Díaz</t>
  </si>
  <si>
    <t>Léo Derik</t>
  </si>
  <si>
    <t>André</t>
  </si>
  <si>
    <t>Kayke</t>
  </si>
  <si>
    <t>Gustavo Talles</t>
  </si>
  <si>
    <t>João Vitor</t>
  </si>
  <si>
    <t>Batata</t>
  </si>
  <si>
    <t>Dyogo Alves</t>
  </si>
  <si>
    <t>Daniel Sales</t>
  </si>
  <si>
    <t>Gustavinho</t>
  </si>
  <si>
    <t>Ryan</t>
  </si>
  <si>
    <t>Isaac</t>
  </si>
  <si>
    <t>Kayky Almeida</t>
  </si>
  <si>
    <t>Barros</t>
  </si>
  <si>
    <t>Rayan</t>
  </si>
  <si>
    <t>GB</t>
  </si>
  <si>
    <t>Wallace Yan</t>
  </si>
  <si>
    <t>Japa</t>
  </si>
  <si>
    <t>Lucas Cunha</t>
  </si>
  <si>
    <t>Caballero</t>
  </si>
  <si>
    <t>Guzmán Rodríguez</t>
  </si>
  <si>
    <t>Patrick</t>
  </si>
  <si>
    <t>Victor Nascimento</t>
  </si>
  <si>
    <t>Leozinho</t>
  </si>
  <si>
    <t>Cadu</t>
  </si>
  <si>
    <t>Cauly</t>
  </si>
  <si>
    <t>Ítalo</t>
  </si>
  <si>
    <t>Lucas Ronier</t>
  </si>
  <si>
    <t>Janderson</t>
  </si>
  <si>
    <t>Zé Guilherme</t>
  </si>
  <si>
    <t>Alan Rodríguez</t>
  </si>
  <si>
    <t>Lezcano</t>
  </si>
  <si>
    <t>Henry Mosquera</t>
  </si>
  <si>
    <t>Gustavo Prado</t>
  </si>
  <si>
    <t>João Almeida</t>
  </si>
  <si>
    <t>Mateo Ponte</t>
  </si>
  <si>
    <t>Giay</t>
  </si>
  <si>
    <t>Iván Román</t>
  </si>
  <si>
    <t>Felipe Negrucci</t>
  </si>
  <si>
    <t>Nathan Fernandes</t>
  </si>
  <si>
    <t>Ruan Assis</t>
  </si>
  <si>
    <t>Jonathan Jesus</t>
  </si>
  <si>
    <t>Viery</t>
  </si>
  <si>
    <t>Jean Gabriel</t>
  </si>
  <si>
    <t>Pedro Morisco</t>
  </si>
  <si>
    <t>Zapelli</t>
  </si>
  <si>
    <t>Ythallo</t>
  </si>
  <si>
    <t>Barreal</t>
  </si>
  <si>
    <t>Bahia</t>
  </si>
  <si>
    <t>Julio Fidélis</t>
  </si>
  <si>
    <t>Felipe Chiqueti</t>
  </si>
  <si>
    <t>Alejandro García</t>
  </si>
  <si>
    <t>Marcão</t>
  </si>
  <si>
    <t>João Cruz</t>
  </si>
  <si>
    <t>Johan Rojas</t>
  </si>
  <si>
    <t>Felipe Cardoso</t>
  </si>
  <si>
    <t>Ruan Pablo</t>
  </si>
  <si>
    <t>Cristhian Loor</t>
  </si>
  <si>
    <t>Léo Nannetti</t>
  </si>
  <si>
    <t>Guilherme Estrella</t>
  </si>
  <si>
    <t>Phillipe Gabriel</t>
  </si>
  <si>
    <t>Matheus Dias</t>
  </si>
  <si>
    <t>Guilherme Gomes</t>
  </si>
  <si>
    <t>Robert</t>
  </si>
  <si>
    <t>Luighi</t>
  </si>
  <si>
    <t>Mailson</t>
  </si>
  <si>
    <t>Bernal</t>
  </si>
  <si>
    <t>Kauan</t>
  </si>
  <si>
    <t>Souza</t>
  </si>
  <si>
    <t>Matheus Soares</t>
  </si>
  <si>
    <t>Arthur Dias</t>
  </si>
  <si>
    <t>Riquelme</t>
  </si>
  <si>
    <t>Thiago Azaf</t>
  </si>
  <si>
    <t>JP Chermont</t>
  </si>
  <si>
    <t>André Silva</t>
  </si>
  <si>
    <t>Felipe Longo</t>
  </si>
  <si>
    <t>Portilla</t>
  </si>
  <si>
    <t>Villarreal</t>
  </si>
  <si>
    <t>Serna</t>
  </si>
  <si>
    <t>Arroyo</t>
  </si>
  <si>
    <t>Ignacio Sosa</t>
  </si>
  <si>
    <t>Román Gómez</t>
  </si>
  <si>
    <t>Jemmes</t>
  </si>
  <si>
    <t>Vinicinho</t>
  </si>
  <si>
    <t>Felipe Guimarães</t>
  </si>
  <si>
    <t>Gui Negão</t>
  </si>
  <si>
    <t>Mateus Xavier</t>
  </si>
  <si>
    <t>Benedetti</t>
  </si>
  <si>
    <t>Wallace Davi</t>
  </si>
  <si>
    <t>Larson</t>
  </si>
  <si>
    <t>Sanabria</t>
  </si>
  <si>
    <t>Kaique Kenji</t>
  </si>
  <si>
    <t>Tevis</t>
  </si>
  <si>
    <t>Clayton Sampaio</t>
  </si>
  <si>
    <t>Palacios</t>
  </si>
  <si>
    <t>Kauã Prates</t>
  </si>
  <si>
    <t>Da Mata</t>
  </si>
  <si>
    <t>Riquelme Felipe</t>
  </si>
  <si>
    <t>Ryan Francisco</t>
  </si>
  <si>
    <t>Davi Gomes</t>
  </si>
  <si>
    <t>Lucas Taverna</t>
  </si>
  <si>
    <t>Marcos Alexandre</t>
  </si>
  <si>
    <t>Fredi Lippert</t>
  </si>
  <si>
    <t>Lucca</t>
  </si>
  <si>
    <t>Maik</t>
  </si>
  <si>
    <t>Gabriel Bontempo</t>
  </si>
  <si>
    <t>Vinicius Lira</t>
  </si>
  <si>
    <t>Dieguinho</t>
  </si>
  <si>
    <t>Amuzu</t>
  </si>
  <si>
    <t>Bruno Alves</t>
  </si>
  <si>
    <t>Marcelo Eráclito</t>
  </si>
  <si>
    <t>Nuno Moreira</t>
  </si>
  <si>
    <t>Barrera</t>
  </si>
  <si>
    <t>Nicolás Ferreira</t>
  </si>
  <si>
    <t>Robinho Jr.</t>
  </si>
  <si>
    <t>Montoro</t>
  </si>
  <si>
    <t>Gabriel Abdias</t>
  </si>
  <si>
    <t>Viveros</t>
  </si>
  <si>
    <t>Joshua</t>
  </si>
  <si>
    <t>Murilo Rhikman</t>
  </si>
  <si>
    <t>PH Gama</t>
  </si>
  <si>
    <t>Raykkonen</t>
  </si>
  <si>
    <t>Kauã Moraes</t>
  </si>
  <si>
    <t>Nicolas Pontes</t>
  </si>
  <si>
    <t>Rúben Rodrigues</t>
  </si>
  <si>
    <t>Kauê Furquim</t>
  </si>
  <si>
    <t>Rúben Ismael</t>
  </si>
  <si>
    <t>Cauê</t>
  </si>
  <si>
    <t>Paulo Roberto</t>
  </si>
  <si>
    <t>Élan Ricardo</t>
  </si>
  <si>
    <t>Douglas Telles</t>
  </si>
  <si>
    <t>Cristian Tassano</t>
  </si>
  <si>
    <t>Kadir</t>
  </si>
  <si>
    <t>Rayan Lelis</t>
  </si>
  <si>
    <t>João Bom</t>
  </si>
  <si>
    <t>Rhuan Gabriel</t>
  </si>
  <si>
    <t>Cauan Baptistella</t>
  </si>
  <si>
    <t>Kaiquy Luiz</t>
  </si>
  <si>
    <t>William Fernando</t>
  </si>
  <si>
    <t>tier_position</t>
  </si>
  <si>
    <t>tier_general</t>
  </si>
  <si>
    <t>x</t>
  </si>
  <si>
    <t>B</t>
  </si>
  <si>
    <t>A</t>
  </si>
  <si>
    <t>C</t>
  </si>
  <si>
    <t>S</t>
  </si>
  <si>
    <t>D</t>
  </si>
  <si>
    <t>Tetê</t>
  </si>
  <si>
    <t>Gabriel Paulista</t>
  </si>
  <si>
    <t>Marllon</t>
  </si>
  <si>
    <t>Leo Andrade</t>
  </si>
  <si>
    <t>Gerson</t>
  </si>
  <si>
    <t>pts_std_played</t>
  </si>
  <si>
    <t>S+</t>
  </si>
  <si>
    <t>A+</t>
  </si>
  <si>
    <t>Position</t>
  </si>
  <si>
    <t>Top 10</t>
  </si>
  <si>
    <t>Top 30</t>
  </si>
  <si>
    <t>Round</t>
  </si>
  <si>
    <t>Pick</t>
  </si>
  <si>
    <t>Player</t>
  </si>
  <si>
    <t>Average</t>
  </si>
  <si>
    <t>Deviation</t>
  </si>
  <si>
    <t>Comments</t>
  </si>
  <si>
    <t>Should be last choice</t>
  </si>
  <si>
    <t>Low positional value on average, but deviation is so high that top choices are worth decent pick</t>
  </si>
  <si>
    <t>Highest positional value of top 10, but high deviation (only top of top are worth gold)</t>
  </si>
  <si>
    <t>Highest positional value of top 30, deviation not as high as AT; top choices are worth high pick</t>
  </si>
  <si>
    <t>Top choices are worth high pick, but value decreases fast</t>
  </si>
  <si>
    <t>S-</t>
  </si>
  <si>
    <t>A-</t>
  </si>
  <si>
    <t>B-</t>
  </si>
  <si>
    <t>B+</t>
  </si>
  <si>
    <t>Cassierra</t>
  </si>
  <si>
    <t>Preciado</t>
  </si>
  <si>
    <t>Hinestroza</t>
  </si>
  <si>
    <t>C+</t>
  </si>
  <si>
    <t>Breno Lopes</t>
  </si>
  <si>
    <t>C-</t>
  </si>
  <si>
    <t>D-</t>
  </si>
  <si>
    <t>D+</t>
  </si>
  <si>
    <t>Massa</t>
  </si>
  <si>
    <t>Vidal</t>
  </si>
  <si>
    <t>Fellipe</t>
  </si>
  <si>
    <t>Carlos</t>
  </si>
  <si>
    <t>Rodolfo</t>
  </si>
  <si>
    <t>Petindá</t>
  </si>
  <si>
    <t>Fochesato</t>
  </si>
  <si>
    <t>Anuda</t>
  </si>
  <si>
    <t>Sousa</t>
  </si>
  <si>
    <t>Victor Hugo</t>
  </si>
  <si>
    <t>Igor Formiga</t>
  </si>
  <si>
    <t>Squad</t>
  </si>
  <si>
    <t>Number</t>
  </si>
  <si>
    <t>GM</t>
  </si>
  <si>
    <t>Kaio (lesão)</t>
  </si>
  <si>
    <t>Alan Minda</t>
  </si>
  <si>
    <t>Chico da Costa</t>
  </si>
  <si>
    <t>Ferraresi</t>
  </si>
  <si>
    <t>Andrew</t>
  </si>
  <si>
    <t>pick_number</t>
  </si>
  <si>
    <t>pick_player</t>
  </si>
  <si>
    <t>Pick Number</t>
  </si>
  <si>
    <t>Pick Player</t>
  </si>
  <si>
    <t>Average Draft Position</t>
  </si>
  <si>
    <t>Pick Number - ADP</t>
  </si>
  <si>
    <t>Tier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</si>
</sst>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22"/>
  <sheetViews>
    <sheetView showGridLines="0" tabSelected="1" zoomScale="120" zoomScaleNormal="12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.1640625" style="2" bestFit="1" customWidth="1"/>
    <col min="2" max="2" width="7.1640625" style="2" customWidth="1"/>
    <col min="3" max="3" width="17" style="2" bestFit="1" customWidth="1"/>
    <col min="4" max="4" width="8.83203125" style="2"/>
    <col min="5" max="5" width="12.5" style="2" bestFit="1" customWidth="1"/>
    <col min="6" max="6" width="15.83203125" style="2" bestFit="1" customWidth="1"/>
    <col min="7" max="7" width="14.5" style="2" bestFit="1" customWidth="1"/>
    <col min="8" max="8" width="12.5" style="2" bestFit="1" customWidth="1"/>
    <col min="9" max="9" width="14.5" style="2" bestFit="1" customWidth="1"/>
    <col min="10" max="10" width="17.6640625" style="2" bestFit="1" customWidth="1"/>
    <col min="11" max="11" width="14.5" style="2" bestFit="1" customWidth="1"/>
    <col min="12" max="12" width="17.6640625" style="2" bestFit="1" customWidth="1"/>
    <col min="13" max="14" width="16.1640625" style="2" bestFit="1" customWidth="1"/>
    <col min="15" max="15" width="19" style="2" customWidth="1"/>
    <col min="16" max="16" width="15.83203125" style="2" customWidth="1"/>
    <col min="17" max="17" width="30" style="2" customWidth="1"/>
    <col min="18" max="18" width="26.83203125" style="2" customWidth="1"/>
    <col min="19" max="19" width="32" style="2" customWidth="1"/>
    <col min="20" max="20" width="28.6640625" style="2" customWidth="1"/>
    <col min="21" max="21" width="15.6640625" style="2" customWidth="1"/>
    <col min="22" max="22" width="15.33203125" style="2" customWidth="1"/>
    <col min="23" max="23" width="18.1640625" style="2" customWidth="1"/>
    <col min="24" max="24" width="15" style="2" customWidth="1"/>
    <col min="25" max="25" width="29.1640625" style="2" customWidth="1"/>
    <col min="26" max="26" width="25.83203125" style="2" customWidth="1"/>
    <col min="27" max="27" width="31" style="2" customWidth="1"/>
    <col min="28" max="28" width="27.83203125" style="2" customWidth="1"/>
    <col min="29" max="16384" width="8.83203125" style="2"/>
  </cols>
  <sheetData>
    <row r="1" spans="1:28" s="3" customFormat="1" x14ac:dyDescent="0.2">
      <c r="A1" s="3" t="s">
        <v>0</v>
      </c>
      <c r="C1" s="3" t="s">
        <v>1</v>
      </c>
      <c r="D1" s="3" t="s">
        <v>2</v>
      </c>
      <c r="E1" s="3" t="s">
        <v>3</v>
      </c>
      <c r="F1" s="3" t="s">
        <v>677</v>
      </c>
      <c r="G1" s="3" t="s">
        <v>678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629</v>
      </c>
      <c r="M1" s="3" t="s">
        <v>616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617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</row>
    <row r="2" spans="1:28" x14ac:dyDescent="0.2">
      <c r="A2" s="2">
        <v>103445</v>
      </c>
      <c r="C2" s="2" t="s">
        <v>326</v>
      </c>
      <c r="D2" s="2" t="s">
        <v>35</v>
      </c>
      <c r="E2" s="2" t="s">
        <v>27</v>
      </c>
      <c r="F2" s="2">
        <v>1</v>
      </c>
      <c r="G2" s="2" t="str">
        <f>IFERROR(VLOOKUP(F2,Picks!$A$2:$B$231,2,0),"")</f>
        <v>Massa</v>
      </c>
      <c r="H2" s="2">
        <v>33</v>
      </c>
      <c r="I2" s="4">
        <v>0.86842105263157898</v>
      </c>
      <c r="J2" s="4">
        <v>9.4600000000000009</v>
      </c>
      <c r="K2" s="4">
        <v>8.2152631578947375</v>
      </c>
      <c r="L2" s="4">
        <v>2.1224551660096842</v>
      </c>
      <c r="M2" s="2" t="s">
        <v>630</v>
      </c>
      <c r="N2" s="2">
        <v>1</v>
      </c>
      <c r="O2" s="4">
        <v>3.0287434149623702</v>
      </c>
      <c r="P2" s="4">
        <v>3.1532123224265769</v>
      </c>
      <c r="Q2" s="4">
        <v>2.9111843997311189</v>
      </c>
      <c r="R2" s="4">
        <v>3.5162542064697639</v>
      </c>
      <c r="S2" s="2">
        <v>3.7886666666666682</v>
      </c>
      <c r="T2" s="2">
        <v>3.8563306472400818</v>
      </c>
      <c r="U2" s="2" t="s">
        <v>630</v>
      </c>
      <c r="V2" s="2">
        <v>1</v>
      </c>
      <c r="W2" s="4">
        <v>4.0848216561561124</v>
      </c>
      <c r="X2" s="4">
        <v>4.2526910392858159</v>
      </c>
      <c r="Y2" s="4">
        <v>4.1222086289184796</v>
      </c>
      <c r="Z2" s="4">
        <v>4.44841465483682</v>
      </c>
      <c r="AA2" s="2">
        <v>4.55945</v>
      </c>
      <c r="AB2" s="2">
        <v>4.8135662504232872</v>
      </c>
    </row>
    <row r="3" spans="1:28" x14ac:dyDescent="0.2">
      <c r="A3" s="2">
        <v>114802</v>
      </c>
      <c r="C3" s="2" t="s">
        <v>447</v>
      </c>
      <c r="D3" s="2" t="s">
        <v>65</v>
      </c>
      <c r="E3" s="2" t="s">
        <v>27</v>
      </c>
      <c r="F3" s="2">
        <v>2</v>
      </c>
      <c r="G3" s="2" t="str">
        <f>IFERROR(VLOOKUP(F3,Picks!$A$2:$B$231,2,0),"")</f>
        <v>Vidal</v>
      </c>
      <c r="H3" s="2">
        <v>31</v>
      </c>
      <c r="I3" s="4">
        <v>0.81578947368421051</v>
      </c>
      <c r="J3" s="4">
        <v>8.31</v>
      </c>
      <c r="K3" s="4">
        <v>6.77921052631579</v>
      </c>
      <c r="L3" s="4">
        <v>1.9073867789004739</v>
      </c>
      <c r="M3" s="2" t="s">
        <v>622</v>
      </c>
      <c r="N3" s="2">
        <v>2</v>
      </c>
      <c r="O3" s="4">
        <v>1.983244864012067</v>
      </c>
      <c r="P3" s="4">
        <v>2.099256402018344</v>
      </c>
      <c r="Q3" s="4">
        <v>2.027532615543862</v>
      </c>
      <c r="R3" s="4">
        <v>2.2068420817300671</v>
      </c>
      <c r="S3" s="2">
        <v>2.6386666666666669</v>
      </c>
      <c r="T3" s="2">
        <v>2.4202780156611339</v>
      </c>
      <c r="U3" s="2" t="s">
        <v>630</v>
      </c>
      <c r="V3" s="2">
        <v>3</v>
      </c>
      <c r="W3" s="4">
        <v>2.926808351259595</v>
      </c>
      <c r="X3" s="4">
        <v>3.0980144108040282</v>
      </c>
      <c r="Y3" s="4">
        <v>3.0824911359629139</v>
      </c>
      <c r="Z3" s="4">
        <v>3.1212993230656991</v>
      </c>
      <c r="AA3" s="2">
        <v>3.4094500000000001</v>
      </c>
      <c r="AB3" s="2">
        <v>3.3775136188443389</v>
      </c>
    </row>
    <row r="4" spans="1:28" x14ac:dyDescent="0.2">
      <c r="A4" s="2">
        <v>87863</v>
      </c>
      <c r="C4" s="2" t="s">
        <v>170</v>
      </c>
      <c r="D4" s="2" t="s">
        <v>47</v>
      </c>
      <c r="E4" s="2" t="s">
        <v>29</v>
      </c>
      <c r="F4" s="2">
        <v>3</v>
      </c>
      <c r="G4" s="2" t="str">
        <f>IFERROR(VLOOKUP(F4,Picks!$A$2:$B$231,2,0),"")</f>
        <v>Fellipe</v>
      </c>
      <c r="H4" s="2">
        <v>32</v>
      </c>
      <c r="I4" s="4">
        <v>0.84210526315789469</v>
      </c>
      <c r="J4" s="4">
        <v>9.32</v>
      </c>
      <c r="K4" s="4">
        <v>7.8484210526315792</v>
      </c>
      <c r="L4" s="4">
        <v>2.4696136986921928</v>
      </c>
      <c r="M4" s="2" t="s">
        <v>630</v>
      </c>
      <c r="N4" s="2">
        <v>1</v>
      </c>
      <c r="O4" s="4">
        <v>3.4495840414229741</v>
      </c>
      <c r="P4" s="4">
        <v>3.6211103197257741</v>
      </c>
      <c r="Q4" s="4">
        <v>3.56881738554174</v>
      </c>
      <c r="R4" s="4">
        <v>3.6995497210018242</v>
      </c>
      <c r="S4" s="2">
        <v>4.4426666666666668</v>
      </c>
      <c r="T4" s="2">
        <v>4.2508008475436956</v>
      </c>
      <c r="U4" s="2" t="s">
        <v>630</v>
      </c>
      <c r="V4" s="2">
        <v>2</v>
      </c>
      <c r="W4" s="4">
        <v>3.8497184392135502</v>
      </c>
      <c r="X4" s="4">
        <v>4.0411409030418479</v>
      </c>
      <c r="Y4" s="4">
        <v>3.9956343254282372</v>
      </c>
      <c r="Z4" s="4">
        <v>4.1094007694622654</v>
      </c>
      <c r="AA4" s="2">
        <v>4.4194499999999994</v>
      </c>
      <c r="AB4" s="2">
        <v>4.4467241451601289</v>
      </c>
    </row>
    <row r="5" spans="1:28" x14ac:dyDescent="0.2">
      <c r="A5" s="2">
        <v>94583</v>
      </c>
      <c r="C5" s="2" t="s">
        <v>231</v>
      </c>
      <c r="D5" s="2" t="s">
        <v>47</v>
      </c>
      <c r="E5" s="2" t="s">
        <v>27</v>
      </c>
      <c r="F5" s="2">
        <v>4</v>
      </c>
      <c r="G5" s="2" t="str">
        <f>IFERROR(VLOOKUP(F5,Picks!$A$2:$B$231,2,0),"")</f>
        <v>Carlos</v>
      </c>
      <c r="H5" s="2">
        <v>21</v>
      </c>
      <c r="I5" s="4">
        <v>0.55263157894736847</v>
      </c>
      <c r="J5" s="4">
        <v>7.74</v>
      </c>
      <c r="K5" s="4">
        <v>4.2773684210526319</v>
      </c>
      <c r="L5" s="4">
        <v>2.9074623784701088</v>
      </c>
      <c r="M5" s="2" t="s">
        <v>622</v>
      </c>
      <c r="N5" s="2">
        <v>5</v>
      </c>
      <c r="O5" s="4">
        <v>0.79997278005158745</v>
      </c>
      <c r="P5" s="4">
        <v>0.9239807186006177</v>
      </c>
      <c r="Q5" s="4">
        <v>1.589548687729309</v>
      </c>
      <c r="R5" s="4">
        <v>-7.4371235092419108E-2</v>
      </c>
      <c r="S5" s="2">
        <v>2.0686666666666671</v>
      </c>
      <c r="T5" s="2">
        <v>-8.156408960202377E-2</v>
      </c>
      <c r="U5" s="2" t="s">
        <v>622</v>
      </c>
      <c r="V5" s="2">
        <v>8</v>
      </c>
      <c r="W5" s="4">
        <v>1.613822377648706</v>
      </c>
      <c r="X5" s="4">
        <v>1.8639893723602079</v>
      </c>
      <c r="Y5" s="4">
        <v>2.5671529003240692</v>
      </c>
      <c r="Z5" s="4">
        <v>0.80924408041441698</v>
      </c>
      <c r="AA5" s="2">
        <v>2.8394499999999989</v>
      </c>
      <c r="AB5" s="2">
        <v>0.87567151358118123</v>
      </c>
    </row>
    <row r="6" spans="1:28" x14ac:dyDescent="0.2">
      <c r="A6" s="2">
        <v>96610</v>
      </c>
      <c r="C6" s="2" t="s">
        <v>244</v>
      </c>
      <c r="D6" s="2" t="s">
        <v>35</v>
      </c>
      <c r="E6" s="2" t="s">
        <v>29</v>
      </c>
      <c r="F6" s="2">
        <v>5</v>
      </c>
      <c r="G6" s="2" t="str">
        <f>IFERROR(VLOOKUP(F6,Picks!$A$2:$B$231,2,0),"")</f>
        <v>Fernando</v>
      </c>
      <c r="H6" s="2">
        <v>34</v>
      </c>
      <c r="I6" s="4">
        <v>0.89473684210526316</v>
      </c>
      <c r="J6" s="4">
        <v>7.03</v>
      </c>
      <c r="K6" s="4">
        <v>6.29</v>
      </c>
      <c r="L6" s="4">
        <v>1.881390428141112</v>
      </c>
      <c r="M6" s="2" t="s">
        <v>622</v>
      </c>
      <c r="N6" s="2">
        <v>2</v>
      </c>
      <c r="O6" s="4">
        <v>1.9124766226020009</v>
      </c>
      <c r="P6" s="4">
        <v>1.9748399907303269</v>
      </c>
      <c r="Q6" s="4">
        <v>1.7292484000471611</v>
      </c>
      <c r="R6" s="4">
        <v>2.3432273767550771</v>
      </c>
      <c r="S6" s="2">
        <v>2.1526666666666672</v>
      </c>
      <c r="T6" s="2">
        <v>2.6923797949121169</v>
      </c>
      <c r="U6" s="2" t="s">
        <v>630</v>
      </c>
      <c r="V6" s="2">
        <v>4</v>
      </c>
      <c r="W6" s="4">
        <v>2.1526296686868269</v>
      </c>
      <c r="X6" s="4">
        <v>2.2228241144048759</v>
      </c>
      <c r="Y6" s="4">
        <v>1.9252403611949811</v>
      </c>
      <c r="Z6" s="4">
        <v>2.6691997442197182</v>
      </c>
      <c r="AA6" s="2">
        <v>2.129449999999999</v>
      </c>
      <c r="AB6" s="2">
        <v>2.8883030925285489</v>
      </c>
    </row>
    <row r="7" spans="1:28" x14ac:dyDescent="0.2">
      <c r="A7" s="2">
        <v>113103</v>
      </c>
      <c r="C7" s="2" t="s">
        <v>439</v>
      </c>
      <c r="D7" s="2" t="s">
        <v>65</v>
      </c>
      <c r="E7" s="2" t="s">
        <v>27</v>
      </c>
      <c r="F7" s="2">
        <v>6</v>
      </c>
      <c r="G7" s="2" t="str">
        <f>IFERROR(VLOOKUP(F7,Picks!$A$2:$B$231,2,0),"")</f>
        <v>Rodolfo</v>
      </c>
      <c r="H7" s="2">
        <v>30</v>
      </c>
      <c r="I7" s="4">
        <v>0.78947368421052633</v>
      </c>
      <c r="J7" s="4">
        <v>6.8</v>
      </c>
      <c r="K7" s="4">
        <v>5.3684210526315788</v>
      </c>
      <c r="L7" s="4">
        <v>1.267181996940955</v>
      </c>
      <c r="M7" s="2" t="s">
        <v>622</v>
      </c>
      <c r="N7" s="2">
        <v>4</v>
      </c>
      <c r="O7" s="4">
        <v>0.83242331409140069</v>
      </c>
      <c r="P7" s="4">
        <v>0.8885417397604839</v>
      </c>
      <c r="Q7" s="4">
        <v>0.86725940326320317</v>
      </c>
      <c r="R7" s="4">
        <v>0.9204652445064051</v>
      </c>
      <c r="S7" s="2">
        <v>1.1286666666666669</v>
      </c>
      <c r="T7" s="2">
        <v>1.0094885419769231</v>
      </c>
      <c r="U7" s="2" t="s">
        <v>630</v>
      </c>
      <c r="V7" s="2">
        <v>6</v>
      </c>
      <c r="W7" s="4">
        <v>1.646397325483079</v>
      </c>
      <c r="X7" s="4">
        <v>1.7573904036055339</v>
      </c>
      <c r="Y7" s="4">
        <v>1.7172968626038669</v>
      </c>
      <c r="Z7" s="4">
        <v>1.8175307151080331</v>
      </c>
      <c r="AA7" s="2">
        <v>1.899449999999999</v>
      </c>
      <c r="AB7" s="2">
        <v>1.9667241451601281</v>
      </c>
    </row>
    <row r="8" spans="1:28" x14ac:dyDescent="0.2">
      <c r="A8" s="2">
        <v>105563</v>
      </c>
      <c r="C8" s="2" t="s">
        <v>355</v>
      </c>
      <c r="D8" s="2" t="s">
        <v>31</v>
      </c>
      <c r="E8" s="2" t="s">
        <v>27</v>
      </c>
      <c r="F8" s="2">
        <v>7</v>
      </c>
      <c r="G8" s="2" t="str">
        <f>IFERROR(VLOOKUP(F8,Picks!$A$2:$B$231,2,0),"")</f>
        <v>Petindá</v>
      </c>
      <c r="H8" s="2">
        <v>13</v>
      </c>
      <c r="I8" s="4">
        <v>0.56521739130434778</v>
      </c>
      <c r="J8" s="4">
        <v>7.97</v>
      </c>
      <c r="K8" s="4">
        <v>4.5047826086956517</v>
      </c>
      <c r="L8" s="4">
        <v>3.059622157560566</v>
      </c>
      <c r="M8" s="2" t="s">
        <v>622</v>
      </c>
      <c r="N8" s="2">
        <v>3</v>
      </c>
      <c r="O8" s="4">
        <v>0.96779361738969538</v>
      </c>
      <c r="P8" s="4">
        <v>1.1129626599981499</v>
      </c>
      <c r="Q8" s="4">
        <v>1.76627904456676</v>
      </c>
      <c r="R8" s="4">
        <v>0.1329880831452345</v>
      </c>
      <c r="S8" s="2">
        <v>2.2986666666666671</v>
      </c>
      <c r="T8" s="2">
        <v>0.145850098040996</v>
      </c>
      <c r="U8" s="2" t="s">
        <v>630</v>
      </c>
      <c r="V8" s="2">
        <v>5</v>
      </c>
      <c r="W8" s="4">
        <v>1.802452691442715</v>
      </c>
      <c r="X8" s="4">
        <v>2.072820595159123</v>
      </c>
      <c r="Y8" s="4">
        <v>2.7750963989151809</v>
      </c>
      <c r="Z8" s="4">
        <v>1.0194068895250341</v>
      </c>
      <c r="AA8" s="2">
        <v>3.0694499999999989</v>
      </c>
      <c r="AB8" s="2">
        <v>1.103085701224201</v>
      </c>
    </row>
    <row r="9" spans="1:28" x14ac:dyDescent="0.2">
      <c r="A9" s="2">
        <v>39148</v>
      </c>
      <c r="C9" s="2" t="s">
        <v>25</v>
      </c>
      <c r="D9" s="2" t="s">
        <v>26</v>
      </c>
      <c r="E9" s="2" t="s">
        <v>27</v>
      </c>
      <c r="F9" s="2">
        <v>8</v>
      </c>
      <c r="G9" s="2" t="str">
        <f>IFERROR(VLOOKUP(F9,Picks!$A$2:$B$231,2,0),"")</f>
        <v>Fochesato</v>
      </c>
      <c r="H9" s="2">
        <v>27</v>
      </c>
      <c r="I9" s="4">
        <v>0.71052631578947367</v>
      </c>
      <c r="J9" s="4">
        <v>6.19</v>
      </c>
      <c r="K9" s="4">
        <v>4.3981578947368423</v>
      </c>
      <c r="L9" s="4">
        <v>1.132821632314688</v>
      </c>
      <c r="M9" s="2" t="s">
        <v>620</v>
      </c>
      <c r="N9" s="2">
        <v>10</v>
      </c>
      <c r="O9" s="4">
        <v>0.23142192492967761</v>
      </c>
      <c r="P9" s="4">
        <v>0.25343035006708209</v>
      </c>
      <c r="Q9" s="4">
        <v>0.39853976121605011</v>
      </c>
      <c r="R9" s="4">
        <v>3.5766233343630049E-2</v>
      </c>
      <c r="S9" s="2">
        <v>0.51866666666666728</v>
      </c>
      <c r="T9" s="2">
        <v>3.9225384082186572E-2</v>
      </c>
      <c r="U9" s="2" t="s">
        <v>646</v>
      </c>
      <c r="V9" s="2">
        <v>14</v>
      </c>
      <c r="W9" s="4">
        <v>0.97509279754488687</v>
      </c>
      <c r="X9" s="4">
        <v>1.067824965611115</v>
      </c>
      <c r="Y9" s="4">
        <v>1.1657945402535239</v>
      </c>
      <c r="Z9" s="4">
        <v>0.92087060364750173</v>
      </c>
      <c r="AA9" s="2">
        <v>1.28945</v>
      </c>
      <c r="AB9" s="2">
        <v>0.99646098726539156</v>
      </c>
    </row>
    <row r="10" spans="1:28" x14ac:dyDescent="0.2">
      <c r="A10" s="2">
        <v>83257</v>
      </c>
      <c r="C10" s="2" t="s">
        <v>108</v>
      </c>
      <c r="D10" s="2" t="s">
        <v>50</v>
      </c>
      <c r="E10" s="2" t="s">
        <v>27</v>
      </c>
      <c r="F10" s="2">
        <v>9</v>
      </c>
      <c r="G10" s="2" t="str">
        <f>IFERROR(VLOOKUP(F10,Picks!$A$2:$B$231,2,0),"")</f>
        <v>Anuda</v>
      </c>
      <c r="H10" s="2">
        <v>30</v>
      </c>
      <c r="I10" s="4">
        <v>0.78947368421052633</v>
      </c>
      <c r="J10" s="4">
        <v>3.02</v>
      </c>
      <c r="K10" s="4">
        <v>2.38421052631579</v>
      </c>
      <c r="L10" s="4">
        <v>0.74620314411705935</v>
      </c>
      <c r="M10" s="2" t="s">
        <v>647</v>
      </c>
      <c r="N10" s="2">
        <v>20</v>
      </c>
      <c r="O10" s="4">
        <v>-1.819900660211577</v>
      </c>
      <c r="P10" s="4">
        <v>-1.9425905923606721</v>
      </c>
      <c r="Q10" s="4">
        <v>-2.0372655917175191</v>
      </c>
      <c r="R10" s="4">
        <v>-1.8005780933254021</v>
      </c>
      <c r="S10" s="2">
        <v>-2.6513333333333331</v>
      </c>
      <c r="T10" s="2">
        <v>-1.9747219843388659</v>
      </c>
      <c r="U10" s="2" t="s">
        <v>631</v>
      </c>
      <c r="V10" s="2">
        <v>63</v>
      </c>
      <c r="W10" s="4">
        <v>-1.308062054398673</v>
      </c>
      <c r="X10" s="4">
        <v>-1.396246013122179</v>
      </c>
      <c r="Y10" s="4">
        <v>-1.7002093316326861</v>
      </c>
      <c r="Z10" s="4">
        <v>-0.94030103535641751</v>
      </c>
      <c r="AA10" s="2">
        <v>-1.8805500000000011</v>
      </c>
      <c r="AB10" s="2">
        <v>-1.0174863811556609</v>
      </c>
    </row>
    <row r="11" spans="1:28" x14ac:dyDescent="0.2">
      <c r="A11" s="2">
        <v>100652</v>
      </c>
      <c r="C11" s="2" t="s">
        <v>286</v>
      </c>
      <c r="D11" s="2" t="s">
        <v>99</v>
      </c>
      <c r="E11" s="2" t="s">
        <v>27</v>
      </c>
      <c r="F11" s="2">
        <v>10</v>
      </c>
      <c r="G11" s="2" t="str">
        <f>IFERROR(VLOOKUP(F11,Picks!$A$2:$B$231,2,0),"")</f>
        <v>Sousa</v>
      </c>
      <c r="H11" s="2">
        <v>26</v>
      </c>
      <c r="I11" s="4">
        <v>0.68421052631578949</v>
      </c>
      <c r="J11" s="4">
        <v>5.64</v>
      </c>
      <c r="K11" s="4">
        <v>3.858947368421052</v>
      </c>
      <c r="L11" s="4">
        <v>1.1321108131779181</v>
      </c>
      <c r="M11" s="2" t="s">
        <v>631</v>
      </c>
      <c r="N11" s="2">
        <v>8</v>
      </c>
      <c r="O11" s="4">
        <v>-0.17815855914444961</v>
      </c>
      <c r="P11" s="4">
        <v>-0.19680305952003149</v>
      </c>
      <c r="Q11" s="4">
        <v>-2.407630948220359E-2</v>
      </c>
      <c r="R11" s="4">
        <v>-0.45589318457677352</v>
      </c>
      <c r="S11" s="2">
        <v>-3.1333333333333442E-2</v>
      </c>
      <c r="T11" s="2">
        <v>-0.49998514223360319</v>
      </c>
      <c r="U11" s="2" t="s">
        <v>631</v>
      </c>
      <c r="V11" s="2">
        <v>23</v>
      </c>
      <c r="W11" s="4">
        <v>0.51613451819803802</v>
      </c>
      <c r="X11" s="4">
        <v>0.57014859568387921</v>
      </c>
      <c r="Y11" s="4">
        <v>0.66853834797042744</v>
      </c>
      <c r="Z11" s="4">
        <v>0.42256396725405693</v>
      </c>
      <c r="AA11" s="2">
        <v>0.73944999999999883</v>
      </c>
      <c r="AB11" s="2">
        <v>0.45725046094960181</v>
      </c>
    </row>
    <row r="12" spans="1:28" x14ac:dyDescent="0.2">
      <c r="A12" s="2">
        <v>85048</v>
      </c>
      <c r="C12" s="2" t="s">
        <v>151</v>
      </c>
      <c r="D12" s="2" t="s">
        <v>99</v>
      </c>
      <c r="E12" s="2" t="s">
        <v>27</v>
      </c>
      <c r="F12" s="2">
        <v>11</v>
      </c>
      <c r="G12" s="2" t="str">
        <f>IFERROR(VLOOKUP(F12,Picks!$A$2:$B$231,2,0),"")</f>
        <v>Sousa</v>
      </c>
      <c r="H12" s="2">
        <v>23</v>
      </c>
      <c r="I12" s="4">
        <v>0.60526315789473684</v>
      </c>
      <c r="J12" s="4">
        <v>4.9800000000000004</v>
      </c>
      <c r="K12" s="4">
        <v>3.0142105263157899</v>
      </c>
      <c r="L12" s="4">
        <v>2.6377477164519032</v>
      </c>
      <c r="M12" s="2" t="s">
        <v>647</v>
      </c>
      <c r="N12" s="2">
        <v>19</v>
      </c>
      <c r="O12" s="4">
        <v>-0.71335922715307865</v>
      </c>
      <c r="P12" s="4">
        <v>-0.80918360094976094</v>
      </c>
      <c r="Q12" s="4">
        <v>-0.53121559432010679</v>
      </c>
      <c r="R12" s="4">
        <v>-1.2261356108942421</v>
      </c>
      <c r="S12" s="2">
        <v>-0.69133333333333269</v>
      </c>
      <c r="T12" s="2">
        <v>-1.344721984338866</v>
      </c>
      <c r="U12" s="2" t="s">
        <v>649</v>
      </c>
      <c r="V12" s="2">
        <v>62</v>
      </c>
      <c r="W12" s="4">
        <v>-8.8279811608547157E-2</v>
      </c>
      <c r="X12" s="4">
        <v>-0.1001382937649192</v>
      </c>
      <c r="Y12" s="4">
        <v>7.183091723071236E-2</v>
      </c>
      <c r="Z12" s="4">
        <v>-0.35809211025836651</v>
      </c>
      <c r="AA12" s="2">
        <v>7.9449999999999577E-2</v>
      </c>
      <c r="AB12" s="2">
        <v>-0.38748638115566081</v>
      </c>
    </row>
    <row r="13" spans="1:28" x14ac:dyDescent="0.2">
      <c r="A13" s="2">
        <v>84735</v>
      </c>
      <c r="C13" s="2" t="s">
        <v>147</v>
      </c>
      <c r="D13" s="2" t="s">
        <v>47</v>
      </c>
      <c r="E13" s="2" t="s">
        <v>29</v>
      </c>
      <c r="F13" s="2">
        <v>12</v>
      </c>
      <c r="G13" s="2" t="str">
        <f>IFERROR(VLOOKUP(F13,Picks!$A$2:$B$231,2,0),"")</f>
        <v>Anuda</v>
      </c>
      <c r="H13" s="2">
        <v>17</v>
      </c>
      <c r="I13" s="4">
        <v>0.62962962962962965</v>
      </c>
      <c r="J13" s="4">
        <v>3.61</v>
      </c>
      <c r="K13" s="4">
        <v>2.2729629629629629</v>
      </c>
      <c r="L13" s="4">
        <v>0.86994318182346808</v>
      </c>
      <c r="M13" s="2" t="s">
        <v>619</v>
      </c>
      <c r="N13" s="2">
        <v>30</v>
      </c>
      <c r="O13" s="4">
        <v>-0.95287348414588358</v>
      </c>
      <c r="P13" s="4">
        <v>-1.071982669664119</v>
      </c>
      <c r="Q13" s="4">
        <v>-1.0180554996871021</v>
      </c>
      <c r="R13" s="4">
        <v>-1.1528734246296439</v>
      </c>
      <c r="S13" s="2">
        <v>-1.2673333333333341</v>
      </c>
      <c r="T13" s="2">
        <v>-1.3246572421249201</v>
      </c>
      <c r="U13" s="2" t="s">
        <v>653</v>
      </c>
      <c r="V13" s="2">
        <v>136</v>
      </c>
      <c r="W13" s="4">
        <v>-0.99317086775137431</v>
      </c>
      <c r="X13" s="4">
        <v>-1.1173172262202959</v>
      </c>
      <c r="Y13" s="4">
        <v>-1.166789052638092</v>
      </c>
      <c r="Z13" s="4">
        <v>-1.043109486593603</v>
      </c>
      <c r="AA13" s="2">
        <v>-1.290550000000001</v>
      </c>
      <c r="AB13" s="2">
        <v>-1.1287339445084881</v>
      </c>
    </row>
    <row r="14" spans="1:28" x14ac:dyDescent="0.2">
      <c r="A14" s="2">
        <v>63007</v>
      </c>
      <c r="C14" s="2" t="s">
        <v>49</v>
      </c>
      <c r="D14" s="2" t="s">
        <v>50</v>
      </c>
      <c r="E14" s="2" t="s">
        <v>29</v>
      </c>
      <c r="F14" s="2">
        <v>13</v>
      </c>
      <c r="G14" s="2" t="str">
        <f>IFERROR(VLOOKUP(F14,Picks!$A$2:$B$231,2,0),"")</f>
        <v>Fochesato</v>
      </c>
      <c r="H14" s="2">
        <v>19</v>
      </c>
      <c r="I14" s="4">
        <v>0.5</v>
      </c>
      <c r="J14" s="4">
        <v>7.25</v>
      </c>
      <c r="K14" s="4">
        <v>3.625</v>
      </c>
      <c r="L14" s="4">
        <v>1.9732517876221971</v>
      </c>
      <c r="M14" s="2" t="s">
        <v>646</v>
      </c>
      <c r="N14" s="2">
        <v>3</v>
      </c>
      <c r="O14" s="4">
        <v>0.98014943759078499</v>
      </c>
      <c r="P14" s="4">
        <v>1.153116985400924</v>
      </c>
      <c r="Q14" s="4">
        <v>1.9059755514920551</v>
      </c>
      <c r="R14" s="4">
        <v>2.382913626422669E-2</v>
      </c>
      <c r="S14" s="2">
        <v>2.372666666666666</v>
      </c>
      <c r="T14" s="2">
        <v>2.7379794912116839E-2</v>
      </c>
      <c r="U14" s="2" t="s">
        <v>622</v>
      </c>
      <c r="V14" s="2">
        <v>9</v>
      </c>
      <c r="W14" s="4">
        <v>1.153476463594747</v>
      </c>
      <c r="X14" s="4">
        <v>1.3570311336408789</v>
      </c>
      <c r="Y14" s="4">
        <v>2.1241428381082188</v>
      </c>
      <c r="Z14" s="4">
        <v>0.20636357693986859</v>
      </c>
      <c r="AA14" s="2">
        <v>2.3494499999999992</v>
      </c>
      <c r="AB14" s="2">
        <v>0.2233030925285493</v>
      </c>
    </row>
    <row r="15" spans="1:28" x14ac:dyDescent="0.2">
      <c r="A15" s="2">
        <v>78850</v>
      </c>
      <c r="C15" s="2" t="s">
        <v>109</v>
      </c>
      <c r="D15" s="2" t="s">
        <v>41</v>
      </c>
      <c r="E15" s="2" t="s">
        <v>37</v>
      </c>
      <c r="F15" s="2">
        <v>14</v>
      </c>
      <c r="G15" s="2" t="str">
        <f>IFERROR(VLOOKUP(F15,Picks!$A$2:$B$231,2,0),"")</f>
        <v>Petindá</v>
      </c>
      <c r="H15" s="2">
        <v>32</v>
      </c>
      <c r="I15" s="4">
        <v>0.84210526315789469</v>
      </c>
      <c r="J15" s="4">
        <v>7.94</v>
      </c>
      <c r="K15" s="4">
        <v>6.6863157894736842</v>
      </c>
      <c r="L15" s="4">
        <v>2.3885485602664791</v>
      </c>
      <c r="M15" s="2" t="s">
        <v>630</v>
      </c>
      <c r="N15" s="2">
        <v>1</v>
      </c>
      <c r="O15" s="4">
        <v>1.849925072251811</v>
      </c>
      <c r="P15" s="4">
        <v>1.941910296838917</v>
      </c>
      <c r="Q15" s="4">
        <v>1.8015151835773779</v>
      </c>
      <c r="R15" s="4">
        <v>2.1525029667312272</v>
      </c>
      <c r="S15" s="2">
        <v>1.6025</v>
      </c>
      <c r="T15" s="2">
        <v>1.9607226720647779</v>
      </c>
      <c r="U15" s="2" t="s">
        <v>630</v>
      </c>
      <c r="V15" s="2">
        <v>7</v>
      </c>
      <c r="W15" s="4">
        <v>2.7273504777909081</v>
      </c>
      <c r="X15" s="4">
        <v>2.862964589946257</v>
      </c>
      <c r="Y15" s="4">
        <v>2.747973333881558</v>
      </c>
      <c r="Z15" s="4">
        <v>3.0354514740433038</v>
      </c>
      <c r="AA15" s="2">
        <v>3.03945</v>
      </c>
      <c r="AB15" s="2">
        <v>3.284618882002234</v>
      </c>
    </row>
    <row r="16" spans="1:28" x14ac:dyDescent="0.2">
      <c r="A16" s="2">
        <v>68685</v>
      </c>
      <c r="C16" s="2" t="s">
        <v>57</v>
      </c>
      <c r="D16" s="2" t="s">
        <v>58</v>
      </c>
      <c r="E16" s="2" t="s">
        <v>29</v>
      </c>
      <c r="F16" s="2">
        <v>15</v>
      </c>
      <c r="G16" s="2" t="str">
        <f>IFERROR(VLOOKUP(F16,Picks!$A$2:$B$231,2,0),"")</f>
        <v>Rodolfo</v>
      </c>
      <c r="H16" s="2">
        <v>30</v>
      </c>
      <c r="I16" s="4">
        <v>0.78947368421052633</v>
      </c>
      <c r="J16" s="4">
        <v>6.16</v>
      </c>
      <c r="K16" s="4">
        <v>4.8631578947368421</v>
      </c>
      <c r="L16" s="4">
        <v>1.247208461873323</v>
      </c>
      <c r="M16" s="2" t="s">
        <v>646</v>
      </c>
      <c r="N16" s="2">
        <v>4</v>
      </c>
      <c r="O16" s="4">
        <v>0.99192087639129312</v>
      </c>
      <c r="P16" s="4">
        <v>1.058791946709807</v>
      </c>
      <c r="Q16" s="4">
        <v>1.0303728466059889</v>
      </c>
      <c r="R16" s="4">
        <v>1.1014205968655351</v>
      </c>
      <c r="S16" s="2">
        <v>1.2826666666666671</v>
      </c>
      <c r="T16" s="2">
        <v>1.265537689648959</v>
      </c>
      <c r="U16" s="2" t="s">
        <v>622</v>
      </c>
      <c r="V16" s="2">
        <v>10</v>
      </c>
      <c r="W16" s="4">
        <v>1.146171398730613</v>
      </c>
      <c r="X16" s="4">
        <v>1.223441380667508</v>
      </c>
      <c r="Y16" s="4">
        <v>1.138671475219901</v>
      </c>
      <c r="Z16" s="4">
        <v>1.3505962388389201</v>
      </c>
      <c r="AA16" s="2">
        <v>1.2594499999999991</v>
      </c>
      <c r="AB16" s="2">
        <v>1.461460987265391</v>
      </c>
    </row>
    <row r="17" spans="1:28" x14ac:dyDescent="0.2">
      <c r="A17" s="2">
        <v>68996</v>
      </c>
      <c r="C17" s="2" t="s">
        <v>71</v>
      </c>
      <c r="D17" s="2" t="s">
        <v>45</v>
      </c>
      <c r="E17" s="2" t="s">
        <v>27</v>
      </c>
      <c r="F17" s="2">
        <v>16</v>
      </c>
      <c r="G17" s="2" t="str">
        <f>IFERROR(VLOOKUP(F17,Picks!$A$2:$B$231,2,0),"")</f>
        <v>Fernando</v>
      </c>
      <c r="H17" s="2">
        <v>31</v>
      </c>
      <c r="I17" s="4">
        <v>0.81578947368421051</v>
      </c>
      <c r="J17" s="4">
        <v>4.93</v>
      </c>
      <c r="K17" s="4">
        <v>4.0218421052631577</v>
      </c>
      <c r="L17" s="4">
        <v>1.360721740754157</v>
      </c>
      <c r="M17" s="2" t="s">
        <v>620</v>
      </c>
      <c r="N17" s="2">
        <v>13</v>
      </c>
      <c r="O17" s="4">
        <v>-0.43904431254205789</v>
      </c>
      <c r="P17" s="4">
        <v>-0.46472657037878001</v>
      </c>
      <c r="Q17" s="4">
        <v>-0.56963523711085762</v>
      </c>
      <c r="R17" s="4">
        <v>-0.30736357028066341</v>
      </c>
      <c r="S17" s="2">
        <v>-0.7413333333333334</v>
      </c>
      <c r="T17" s="2">
        <v>-0.33709040539149798</v>
      </c>
      <c r="U17" s="2" t="s">
        <v>620</v>
      </c>
      <c r="V17" s="2">
        <v>43</v>
      </c>
      <c r="W17" s="4">
        <v>0.23166474445017129</v>
      </c>
      <c r="X17" s="4">
        <v>0.24521616404196411</v>
      </c>
      <c r="Y17" s="4">
        <v>2.6625808841339318E-2</v>
      </c>
      <c r="Z17" s="4">
        <v>0.57310169684290124</v>
      </c>
      <c r="AA17" s="2">
        <v>2.9449999999998869E-2</v>
      </c>
      <c r="AB17" s="2">
        <v>0.62014519779170696</v>
      </c>
    </row>
    <row r="18" spans="1:28" x14ac:dyDescent="0.2">
      <c r="A18" s="2">
        <v>80287</v>
      </c>
      <c r="C18" s="2" t="s">
        <v>119</v>
      </c>
      <c r="D18" s="2" t="s">
        <v>52</v>
      </c>
      <c r="E18" s="2" t="s">
        <v>27</v>
      </c>
      <c r="F18" s="2">
        <v>17</v>
      </c>
      <c r="G18" s="2" t="str">
        <f>IFERROR(VLOOKUP(F18,Picks!$A$2:$B$231,2,0),"")</f>
        <v>Carlos</v>
      </c>
      <c r="H18" s="2">
        <v>31</v>
      </c>
      <c r="I18" s="4">
        <v>0.81578947368421051</v>
      </c>
      <c r="J18" s="4">
        <v>5.57</v>
      </c>
      <c r="K18" s="4">
        <v>4.543947368421053</v>
      </c>
      <c r="L18" s="4">
        <v>1.8689605816498709</v>
      </c>
      <c r="M18" s="2" t="s">
        <v>631</v>
      </c>
      <c r="N18" s="2">
        <v>7</v>
      </c>
      <c r="O18" s="4">
        <v>1.9613993077658431E-2</v>
      </c>
      <c r="P18" s="4">
        <v>2.076132972008414E-2</v>
      </c>
      <c r="Q18" s="4">
        <v>-7.7863809389253524E-2</v>
      </c>
      <c r="R18" s="4">
        <v>0.16869903838409059</v>
      </c>
      <c r="S18" s="2">
        <v>-0.1013333333333328</v>
      </c>
      <c r="T18" s="2">
        <v>0.18501485776639731</v>
      </c>
      <c r="U18" s="2" t="s">
        <v>631</v>
      </c>
      <c r="V18" s="2">
        <v>22</v>
      </c>
      <c r="W18" s="4">
        <v>0.74198779426024009</v>
      </c>
      <c r="X18" s="4">
        <v>0.78539097999691154</v>
      </c>
      <c r="Y18" s="4">
        <v>0.60525119622530654</v>
      </c>
      <c r="Z18" s="4">
        <v>1.0556006556543189</v>
      </c>
      <c r="AA18" s="2">
        <v>0.66944999999999943</v>
      </c>
      <c r="AB18" s="2">
        <v>1.142250460949602</v>
      </c>
    </row>
    <row r="19" spans="1:28" x14ac:dyDescent="0.2">
      <c r="A19" s="2">
        <v>107231</v>
      </c>
      <c r="C19" s="2" t="s">
        <v>74</v>
      </c>
      <c r="D19" s="2" t="s">
        <v>61</v>
      </c>
      <c r="E19" s="2" t="s">
        <v>29</v>
      </c>
      <c r="F19" s="2">
        <v>18</v>
      </c>
      <c r="G19" s="2" t="str">
        <f>IFERROR(VLOOKUP(F19,Picks!$A$2:$B$231,2,0),"")</f>
        <v>Fellipe</v>
      </c>
      <c r="H19" s="2">
        <v>11</v>
      </c>
      <c r="I19" s="4">
        <v>0.45833333333333331</v>
      </c>
      <c r="J19" s="4">
        <v>3.25</v>
      </c>
      <c r="K19" s="4">
        <v>1.489583333333333</v>
      </c>
      <c r="L19" s="4">
        <v>1.2319734963269999</v>
      </c>
      <c r="M19" s="2" t="s">
        <v>653</v>
      </c>
      <c r="N19" s="2">
        <v>50</v>
      </c>
      <c r="O19" s="4">
        <v>-1.27150292500595</v>
      </c>
      <c r="P19" s="4">
        <v>-1.518212447768299</v>
      </c>
      <c r="Q19" s="4">
        <v>-1.3072453838696561</v>
      </c>
      <c r="R19" s="4">
        <v>-1.8346630436162621</v>
      </c>
      <c r="S19" s="2">
        <v>-1.627333333333334</v>
      </c>
      <c r="T19" s="2">
        <v>-2.1080368717545501</v>
      </c>
      <c r="U19" s="2" t="s">
        <v>621</v>
      </c>
      <c r="V19" s="2">
        <v>182</v>
      </c>
      <c r="W19" s="4">
        <v>-1.3418296322185581</v>
      </c>
      <c r="X19" s="4">
        <v>-1.602184635484845</v>
      </c>
      <c r="Y19" s="4">
        <v>-1.492265833041573</v>
      </c>
      <c r="Z19" s="4">
        <v>-1.767062839149754</v>
      </c>
      <c r="AA19" s="2">
        <v>-1.6505500000000011</v>
      </c>
      <c r="AB19" s="2">
        <v>-1.912113574138117</v>
      </c>
    </row>
    <row r="20" spans="1:28" x14ac:dyDescent="0.2">
      <c r="A20" s="2">
        <v>126471</v>
      </c>
      <c r="C20" s="2" t="s">
        <v>524</v>
      </c>
      <c r="D20" s="2" t="s">
        <v>50</v>
      </c>
      <c r="E20" s="2" t="s">
        <v>29</v>
      </c>
      <c r="F20" s="2">
        <v>19</v>
      </c>
      <c r="G20" s="2" t="str">
        <f>IFERROR(VLOOKUP(F20,Picks!$A$2:$B$231,2,0),"")</f>
        <v>Vidal</v>
      </c>
      <c r="H20" s="2">
        <v>33</v>
      </c>
      <c r="I20" s="4">
        <v>0.86842105263157898</v>
      </c>
      <c r="J20" s="4">
        <v>5.93</v>
      </c>
      <c r="K20" s="4">
        <v>5.1497368421052627</v>
      </c>
      <c r="L20" s="4">
        <v>1.469105770143571</v>
      </c>
      <c r="M20" s="2" t="s">
        <v>631</v>
      </c>
      <c r="N20" s="2">
        <v>5</v>
      </c>
      <c r="O20" s="4">
        <v>1.006345134735148</v>
      </c>
      <c r="P20" s="4">
        <v>1.047701784107826</v>
      </c>
      <c r="Q20" s="4">
        <v>0.84561264282268989</v>
      </c>
      <c r="R20" s="4">
        <v>1.3508354960355291</v>
      </c>
      <c r="S20" s="2">
        <v>1.052666666666666</v>
      </c>
      <c r="T20" s="2">
        <v>1.55211663701738</v>
      </c>
      <c r="U20" s="2" t="s">
        <v>620</v>
      </c>
      <c r="V20" s="2">
        <v>33</v>
      </c>
      <c r="W20" s="4">
        <v>1.1570606049946961</v>
      </c>
      <c r="X20" s="4">
        <v>1.204611040816395</v>
      </c>
      <c r="Y20" s="4">
        <v>0.93072797662878737</v>
      </c>
      <c r="Z20" s="4">
        <v>1.6154356370978069</v>
      </c>
      <c r="AA20" s="2">
        <v>1.0294499999999991</v>
      </c>
      <c r="AB20" s="2">
        <v>1.748039934633812</v>
      </c>
    </row>
    <row r="21" spans="1:28" x14ac:dyDescent="0.2">
      <c r="A21" s="2">
        <v>98873</v>
      </c>
      <c r="C21" s="2" t="s">
        <v>274</v>
      </c>
      <c r="D21" s="2" t="s">
        <v>47</v>
      </c>
      <c r="E21" s="2" t="s">
        <v>27</v>
      </c>
      <c r="F21" s="2">
        <v>20</v>
      </c>
      <c r="G21" s="2" t="str">
        <f>IFERROR(VLOOKUP(F21,Picks!$A$2:$B$231,2,0),"")</f>
        <v>Massa</v>
      </c>
      <c r="H21" s="2">
        <v>19</v>
      </c>
      <c r="I21" s="4">
        <v>0.90476190476190477</v>
      </c>
      <c r="J21" s="4">
        <v>6.05</v>
      </c>
      <c r="K21" s="4">
        <v>5.4738095238095239</v>
      </c>
      <c r="L21" s="4">
        <v>2.0809501035184219</v>
      </c>
      <c r="M21" s="2" t="s">
        <v>631</v>
      </c>
      <c r="N21" s="2">
        <v>6</v>
      </c>
      <c r="O21" s="4">
        <v>0.56459701099821602</v>
      </c>
      <c r="P21" s="4">
        <v>0.58120280543934</v>
      </c>
      <c r="Q21" s="4">
        <v>0.29096476140194888</v>
      </c>
      <c r="R21" s="4">
        <v>1.016559871495426</v>
      </c>
      <c r="S21" s="2">
        <v>0.37866666666666671</v>
      </c>
      <c r="T21" s="2">
        <v>1.114877013154868</v>
      </c>
      <c r="U21" s="2" t="s">
        <v>622</v>
      </c>
      <c r="V21" s="2">
        <v>11</v>
      </c>
      <c r="W21" s="4">
        <v>1.349801901398175</v>
      </c>
      <c r="X21" s="4">
        <v>1.3895019573216509</v>
      </c>
      <c r="Y21" s="4">
        <v>1.039220236763281</v>
      </c>
      <c r="Z21" s="4">
        <v>1.914924538159205</v>
      </c>
      <c r="AA21" s="2">
        <v>1.149449999999999</v>
      </c>
      <c r="AB21" s="2">
        <v>2.0721126163380732</v>
      </c>
    </row>
    <row r="22" spans="1:28" x14ac:dyDescent="0.2">
      <c r="A22" s="2">
        <v>93716</v>
      </c>
      <c r="C22" s="2" t="s">
        <v>223</v>
      </c>
      <c r="D22" s="2" t="s">
        <v>67</v>
      </c>
      <c r="E22" s="2" t="s">
        <v>37</v>
      </c>
      <c r="F22" s="2">
        <v>21</v>
      </c>
      <c r="G22" s="2" t="str">
        <f>IFERROR(VLOOKUP(F22,Picks!$A$2:$B$231,2,0),"")</f>
        <v>Massa</v>
      </c>
      <c r="H22" s="2">
        <v>26</v>
      </c>
      <c r="I22" s="4">
        <v>0.68421052631578949</v>
      </c>
      <c r="J22" s="4">
        <v>7.82</v>
      </c>
      <c r="K22" s="4">
        <v>5.350526315789474</v>
      </c>
      <c r="L22" s="4">
        <v>2.2509913099936969</v>
      </c>
      <c r="M22" s="2" t="s">
        <v>622</v>
      </c>
      <c r="N22" s="2">
        <v>2</v>
      </c>
      <c r="O22" s="4">
        <v>1.1536590584544899</v>
      </c>
      <c r="P22" s="4">
        <v>1.2743908203857739</v>
      </c>
      <c r="Q22" s="4">
        <v>1.6666123305169811</v>
      </c>
      <c r="R22" s="4">
        <v>0.68605855518896375</v>
      </c>
      <c r="S22" s="2">
        <v>1.4824999999999999</v>
      </c>
      <c r="T22" s="2">
        <v>0.62493319838056749</v>
      </c>
      <c r="U22" s="2" t="s">
        <v>622</v>
      </c>
      <c r="V22" s="2">
        <v>12</v>
      </c>
      <c r="W22" s="4">
        <v>2.0858041912436169</v>
      </c>
      <c r="X22" s="4">
        <v>2.3040860252109732</v>
      </c>
      <c r="Y22" s="4">
        <v>2.639481073747064</v>
      </c>
      <c r="Z22" s="4">
        <v>1.8009934524068361</v>
      </c>
      <c r="AA22" s="2">
        <v>2.919449999999999</v>
      </c>
      <c r="AB22" s="2">
        <v>1.9488294083180231</v>
      </c>
    </row>
    <row r="23" spans="1:28" x14ac:dyDescent="0.2">
      <c r="A23" s="2">
        <v>89837</v>
      </c>
      <c r="C23" s="2" t="s">
        <v>185</v>
      </c>
      <c r="D23" s="2" t="s">
        <v>23</v>
      </c>
      <c r="E23" s="2" t="s">
        <v>29</v>
      </c>
      <c r="F23" s="2">
        <v>22</v>
      </c>
      <c r="G23" s="2" t="str">
        <f>IFERROR(VLOOKUP(F23,Picks!$A$2:$B$231,2,0),"")</f>
        <v>Vidal</v>
      </c>
      <c r="H23" s="2">
        <v>14</v>
      </c>
      <c r="I23" s="4">
        <v>0.7</v>
      </c>
      <c r="J23" s="4">
        <v>5.42</v>
      </c>
      <c r="K23" s="4">
        <v>3.794</v>
      </c>
      <c r="L23" s="4">
        <v>2.406542562528899</v>
      </c>
      <c r="M23" s="2" t="s">
        <v>631</v>
      </c>
      <c r="N23" s="2">
        <v>6</v>
      </c>
      <c r="O23" s="4">
        <v>0.3002284330393456</v>
      </c>
      <c r="P23" s="4">
        <v>0.32992135498829178</v>
      </c>
      <c r="Q23" s="4">
        <v>0.43592697356407201</v>
      </c>
      <c r="R23" s="4">
        <v>0.17091292712462169</v>
      </c>
      <c r="S23" s="2">
        <v>0.54266666666666641</v>
      </c>
      <c r="T23" s="2">
        <v>0.19637979491211641</v>
      </c>
      <c r="U23" s="2" t="s">
        <v>620</v>
      </c>
      <c r="V23" s="2">
        <v>34</v>
      </c>
      <c r="W23" s="4">
        <v>0.38838699464513371</v>
      </c>
      <c r="X23" s="4">
        <v>0.42679889521443259</v>
      </c>
      <c r="Y23" s="4">
        <v>0.46963587105718912</v>
      </c>
      <c r="Z23" s="4">
        <v>0.36254343145029783</v>
      </c>
      <c r="AA23" s="2">
        <v>0.51944999999999908</v>
      </c>
      <c r="AB23" s="2">
        <v>0.39230309252854889</v>
      </c>
    </row>
    <row r="24" spans="1:28" x14ac:dyDescent="0.2">
      <c r="A24" s="2">
        <v>142890</v>
      </c>
      <c r="C24" s="2" t="s">
        <v>592</v>
      </c>
      <c r="D24" s="2" t="s">
        <v>61</v>
      </c>
      <c r="E24" s="2" t="s">
        <v>29</v>
      </c>
      <c r="F24" s="2">
        <v>23</v>
      </c>
      <c r="G24" s="2" t="str">
        <f>IFERROR(VLOOKUP(F24,Picks!$A$2:$B$231,2,0),"")</f>
        <v>Fellipe</v>
      </c>
      <c r="H24" s="2">
        <v>14</v>
      </c>
      <c r="I24" s="4">
        <v>0.51851851851851849</v>
      </c>
      <c r="J24" s="4">
        <v>4.9000000000000004</v>
      </c>
      <c r="K24" s="4">
        <v>2.5407407407407412</v>
      </c>
      <c r="L24" s="4">
        <v>1.059805255453651</v>
      </c>
      <c r="M24" s="2" t="s">
        <v>631</v>
      </c>
      <c r="N24" s="2">
        <v>8</v>
      </c>
      <c r="O24" s="4">
        <v>-0.30543646441361388</v>
      </c>
      <c r="P24" s="4">
        <v>-0.35700365970422399</v>
      </c>
      <c r="Q24" s="4">
        <v>1.8208251967049831E-2</v>
      </c>
      <c r="R24" s="4">
        <v>-0.91982152721113475</v>
      </c>
      <c r="S24" s="2">
        <v>2.2666666666666831E-2</v>
      </c>
      <c r="T24" s="2">
        <v>-1.056879464347142</v>
      </c>
      <c r="U24" s="2" t="s">
        <v>649</v>
      </c>
      <c r="V24" s="2">
        <v>64</v>
      </c>
      <c r="W24" s="4">
        <v>-0.27254266599485732</v>
      </c>
      <c r="X24" s="4">
        <v>-0.31855636285113198</v>
      </c>
      <c r="Y24" s="4">
        <v>-4.9725619228354354E-4</v>
      </c>
      <c r="Z24" s="4">
        <v>-0.79564502283940453</v>
      </c>
      <c r="AA24" s="2">
        <v>-5.5000000000049454E-4</v>
      </c>
      <c r="AB24" s="2">
        <v>-0.86095616673070996</v>
      </c>
    </row>
    <row r="25" spans="1:28" x14ac:dyDescent="0.2">
      <c r="A25" s="2">
        <v>112709</v>
      </c>
      <c r="C25" s="2" t="s">
        <v>435</v>
      </c>
      <c r="D25" s="2" t="s">
        <v>35</v>
      </c>
      <c r="E25" s="2" t="s">
        <v>37</v>
      </c>
      <c r="F25" s="2">
        <v>24</v>
      </c>
      <c r="G25" s="2" t="str">
        <f>IFERROR(VLOOKUP(F25,Picks!$A$2:$B$231,2,0),"")</f>
        <v>Carlos</v>
      </c>
      <c r="H25" s="2">
        <v>34</v>
      </c>
      <c r="I25" s="4">
        <v>0.89473684210526316</v>
      </c>
      <c r="J25" s="4">
        <v>7.34</v>
      </c>
      <c r="K25" s="4">
        <v>6.5673684210526311</v>
      </c>
      <c r="L25" s="4">
        <v>1.348980358839539</v>
      </c>
      <c r="O25" s="4">
        <v>1.438075285364415</v>
      </c>
      <c r="P25" s="4">
        <v>1.4849690446697761</v>
      </c>
      <c r="Q25" s="4">
        <v>1.1270009182753951</v>
      </c>
      <c r="R25" s="4">
        <v>2.021921234261348</v>
      </c>
      <c r="S25" s="2">
        <v>1.0024999999999999</v>
      </c>
      <c r="T25" s="2">
        <v>1.841775303643725</v>
      </c>
      <c r="W25" s="4">
        <v>2.4147754680546369</v>
      </c>
      <c r="X25" s="4">
        <v>2.493518146360767</v>
      </c>
      <c r="Y25" s="4">
        <v>2.205512033209089</v>
      </c>
      <c r="Z25" s="4">
        <v>2.9255273160882829</v>
      </c>
      <c r="AA25" s="2">
        <v>2.439449999999999</v>
      </c>
      <c r="AB25" s="2">
        <v>3.1656715135811799</v>
      </c>
    </row>
    <row r="26" spans="1:28" x14ac:dyDescent="0.2">
      <c r="A26" s="2">
        <v>89275</v>
      </c>
      <c r="C26" s="2" t="s">
        <v>181</v>
      </c>
      <c r="D26" s="2" t="s">
        <v>35</v>
      </c>
      <c r="E26" s="2" t="s">
        <v>37</v>
      </c>
      <c r="F26" s="2">
        <v>25</v>
      </c>
      <c r="G26" s="2" t="str">
        <f>IFERROR(VLOOKUP(F26,Picks!$A$2:$B$231,2,0),"")</f>
        <v>Fernando</v>
      </c>
      <c r="H26" s="2">
        <v>30</v>
      </c>
      <c r="I26" s="4">
        <v>0.78947368421052633</v>
      </c>
      <c r="J26" s="4">
        <v>7.39</v>
      </c>
      <c r="K26" s="4">
        <v>5.8342105263157897</v>
      </c>
      <c r="L26" s="4">
        <v>2.3231651166710501</v>
      </c>
      <c r="M26" s="2" t="s">
        <v>622</v>
      </c>
      <c r="N26" s="2">
        <v>3</v>
      </c>
      <c r="O26" s="4">
        <v>1.1211631943425631</v>
      </c>
      <c r="P26" s="4">
        <v>1.196747229916219</v>
      </c>
      <c r="Q26" s="4">
        <v>1.183210440383893</v>
      </c>
      <c r="R26" s="4">
        <v>1.2170524142147079</v>
      </c>
      <c r="S26" s="2">
        <v>1.0524999999999991</v>
      </c>
      <c r="T26" s="2">
        <v>1.108617408906883</v>
      </c>
      <c r="U26" s="2" t="s">
        <v>622</v>
      </c>
      <c r="V26" s="2">
        <v>13</v>
      </c>
      <c r="W26" s="4">
        <v>2.107543101708008</v>
      </c>
      <c r="X26" s="4">
        <v>2.2496246591265261</v>
      </c>
      <c r="Y26" s="4">
        <v>2.2507171415984608</v>
      </c>
      <c r="Z26" s="4">
        <v>2.247985935418622</v>
      </c>
      <c r="AA26" s="2">
        <v>2.4894499999999988</v>
      </c>
      <c r="AB26" s="2">
        <v>2.432513618844339</v>
      </c>
    </row>
    <row r="27" spans="1:28" x14ac:dyDescent="0.2">
      <c r="A27" s="2">
        <v>72493</v>
      </c>
      <c r="C27" s="2" t="s">
        <v>92</v>
      </c>
      <c r="D27" s="2" t="s">
        <v>61</v>
      </c>
      <c r="E27" s="2" t="s">
        <v>37</v>
      </c>
      <c r="F27" s="2">
        <v>26</v>
      </c>
      <c r="G27" s="2" t="str">
        <f>IFERROR(VLOOKUP(F27,Picks!$A$2:$B$231,2,0),"")</f>
        <v>Rodolfo</v>
      </c>
      <c r="H27" s="2">
        <v>23</v>
      </c>
      <c r="I27" s="4">
        <v>0.60526315789473684</v>
      </c>
      <c r="J27" s="4">
        <v>5.71</v>
      </c>
      <c r="K27" s="4">
        <v>3.456052631578947</v>
      </c>
      <c r="L27" s="4">
        <v>1.013115696226377</v>
      </c>
      <c r="M27" s="2" t="s">
        <v>649</v>
      </c>
      <c r="N27" s="2">
        <v>13</v>
      </c>
      <c r="O27" s="4">
        <v>-0.8646031912072023</v>
      </c>
      <c r="P27" s="4">
        <v>-0.9807439183842892</v>
      </c>
      <c r="Q27" s="4">
        <v>-0.70542950246165692</v>
      </c>
      <c r="R27" s="4">
        <v>-1.3937155422682379</v>
      </c>
      <c r="S27" s="2">
        <v>-0.62750000000000039</v>
      </c>
      <c r="T27" s="2">
        <v>-1.269540485829959</v>
      </c>
      <c r="U27" s="2" t="s">
        <v>620</v>
      </c>
      <c r="V27" s="2">
        <v>36</v>
      </c>
      <c r="W27" s="4">
        <v>0.40481068914588098</v>
      </c>
      <c r="X27" s="4">
        <v>0.45918824440428302</v>
      </c>
      <c r="Y27" s="4">
        <v>0.731825499715549</v>
      </c>
      <c r="Z27" s="4">
        <v>5.0232361437383979E-2</v>
      </c>
      <c r="AA27" s="2">
        <v>0.80944999999999911</v>
      </c>
      <c r="AB27" s="2">
        <v>5.4355724107496783E-2</v>
      </c>
    </row>
    <row r="28" spans="1:28" x14ac:dyDescent="0.2">
      <c r="A28" s="2">
        <v>89256</v>
      </c>
      <c r="C28" s="2" t="s">
        <v>628</v>
      </c>
      <c r="D28" s="2" t="s">
        <v>35</v>
      </c>
      <c r="E28" s="2" t="s">
        <v>29</v>
      </c>
      <c r="F28" s="2">
        <v>27</v>
      </c>
      <c r="G28" s="2" t="str">
        <f>IFERROR(VLOOKUP(F28,Picks!$A$2:$B$231,2,0),"")</f>
        <v>Petindá</v>
      </c>
      <c r="M28" s="2" t="s">
        <v>619</v>
      </c>
      <c r="N28" s="2">
        <v>36</v>
      </c>
      <c r="U28" s="2" t="s">
        <v>648</v>
      </c>
      <c r="V28" s="2">
        <v>105</v>
      </c>
    </row>
    <row r="29" spans="1:28" x14ac:dyDescent="0.2">
      <c r="A29" s="2">
        <v>105436</v>
      </c>
      <c r="C29" s="2" t="s">
        <v>352</v>
      </c>
      <c r="D29" s="2" t="s">
        <v>47</v>
      </c>
      <c r="E29" s="2" t="s">
        <v>29</v>
      </c>
      <c r="F29" s="2">
        <v>28</v>
      </c>
      <c r="G29" s="2" t="str">
        <f>IFERROR(VLOOKUP(F29,Picks!$A$2:$B$231,2,0),"")</f>
        <v>Fochesato</v>
      </c>
      <c r="H29" s="2">
        <v>15</v>
      </c>
      <c r="I29" s="4">
        <v>0.7142857142857143</v>
      </c>
      <c r="J29" s="4">
        <v>5.33</v>
      </c>
      <c r="K29" s="4">
        <v>3.8071428571428569</v>
      </c>
      <c r="L29" s="4">
        <v>2.190087408562237</v>
      </c>
      <c r="M29" s="2" t="s">
        <v>631</v>
      </c>
      <c r="N29" s="2">
        <v>7</v>
      </c>
      <c r="O29" s="4">
        <v>0.26616526622900072</v>
      </c>
      <c r="P29" s="4">
        <v>0.29111825993796953</v>
      </c>
      <c r="Q29" s="4">
        <v>0.36362950251843362</v>
      </c>
      <c r="R29" s="4">
        <v>0.18235139606727349</v>
      </c>
      <c r="S29" s="2">
        <v>0.45266666666666661</v>
      </c>
      <c r="T29" s="2">
        <v>0.2095226520549742</v>
      </c>
      <c r="U29" s="2" t="s">
        <v>620</v>
      </c>
      <c r="V29" s="2">
        <v>35</v>
      </c>
      <c r="W29" s="4">
        <v>0.3500212299013627</v>
      </c>
      <c r="X29" s="4">
        <v>0.38283572020461548</v>
      </c>
      <c r="Y29" s="4">
        <v>0.38826667595631892</v>
      </c>
      <c r="Z29" s="4">
        <v>0.37468928657706041</v>
      </c>
      <c r="AA29" s="2">
        <v>0.42944999999999922</v>
      </c>
      <c r="AB29" s="2">
        <v>0.40544594967140668</v>
      </c>
    </row>
    <row r="30" spans="1:28" x14ac:dyDescent="0.2">
      <c r="A30" s="2">
        <v>86757</v>
      </c>
      <c r="C30" s="2" t="s">
        <v>161</v>
      </c>
      <c r="D30" s="2" t="s">
        <v>47</v>
      </c>
      <c r="E30" s="2" t="s">
        <v>27</v>
      </c>
      <c r="F30" s="2">
        <v>29</v>
      </c>
      <c r="G30" s="2" t="str">
        <f>IFERROR(VLOOKUP(F30,Picks!$A$2:$B$231,2,0),"")</f>
        <v>Anuda</v>
      </c>
      <c r="H30" s="2">
        <v>21</v>
      </c>
      <c r="I30" s="4">
        <v>0.55263157894736847</v>
      </c>
      <c r="J30" s="4">
        <v>2.27</v>
      </c>
      <c r="K30" s="4">
        <v>1.254473684210526</v>
      </c>
      <c r="L30" s="4">
        <v>0.81094789381715926</v>
      </c>
      <c r="M30" s="2" t="s">
        <v>623</v>
      </c>
      <c r="N30" s="2">
        <v>62</v>
      </c>
      <c r="O30" s="4">
        <v>-2.3379874902127722</v>
      </c>
      <c r="P30" s="4">
        <v>-2.7004110829205259</v>
      </c>
      <c r="Q30" s="4">
        <v>-2.6135602335787729</v>
      </c>
      <c r="R30" s="4">
        <v>-2.830687356933157</v>
      </c>
      <c r="S30" s="2">
        <v>-3.4013333333333331</v>
      </c>
      <c r="T30" s="2">
        <v>-3.1044588264441288</v>
      </c>
      <c r="U30" s="2" t="s">
        <v>657</v>
      </c>
      <c r="V30" s="2">
        <v>242</v>
      </c>
      <c r="W30" s="4">
        <v>-1.92266432122702</v>
      </c>
      <c r="X30" s="4">
        <v>-2.2207065108397188</v>
      </c>
      <c r="Y30" s="4">
        <v>-2.3782859574732722</v>
      </c>
      <c r="Z30" s="4">
        <v>-1.9843373408893881</v>
      </c>
      <c r="AA30" s="2">
        <v>-2.6305500000000008</v>
      </c>
      <c r="AB30" s="2">
        <v>-2.1472232232609239</v>
      </c>
    </row>
    <row r="31" spans="1:28" x14ac:dyDescent="0.2">
      <c r="A31" s="2">
        <v>83528</v>
      </c>
      <c r="C31" s="2" t="s">
        <v>138</v>
      </c>
      <c r="D31" s="2" t="s">
        <v>47</v>
      </c>
      <c r="E31" s="2" t="s">
        <v>53</v>
      </c>
      <c r="F31" s="2">
        <v>30</v>
      </c>
      <c r="G31" s="2" t="str">
        <f>IFERROR(VLOOKUP(F31,Picks!$A$2:$B$231,2,0),"")</f>
        <v>Sousa</v>
      </c>
      <c r="H31" s="2">
        <v>32</v>
      </c>
      <c r="I31" s="4">
        <v>0.84210526315789469</v>
      </c>
      <c r="J31" s="4">
        <v>4.84</v>
      </c>
      <c r="K31" s="4">
        <v>4.0757894736842104</v>
      </c>
      <c r="L31" s="4">
        <v>0.86887122044871512</v>
      </c>
      <c r="M31" s="2" t="s">
        <v>622</v>
      </c>
      <c r="N31" s="2">
        <v>1</v>
      </c>
      <c r="O31" s="4">
        <v>0.49900604808902571</v>
      </c>
      <c r="P31" s="4">
        <v>0.52381850351886672</v>
      </c>
      <c r="Q31" s="4">
        <v>-4.2840841348269557E-2</v>
      </c>
      <c r="R31" s="4">
        <v>1.373807520819571</v>
      </c>
      <c r="S31" s="2">
        <v>-1.699999999999946E-2</v>
      </c>
      <c r="T31" s="2">
        <v>0.76218430930930925</v>
      </c>
      <c r="U31" s="2" t="s">
        <v>620</v>
      </c>
      <c r="V31" s="2">
        <v>38</v>
      </c>
      <c r="W31" s="4">
        <v>0.20608911517482709</v>
      </c>
      <c r="X31" s="4">
        <v>0.21633664023876881</v>
      </c>
      <c r="Y31" s="4">
        <v>-5.4743386259530867E-2</v>
      </c>
      <c r="Z31" s="4">
        <v>0.62295667998621818</v>
      </c>
      <c r="AA31" s="2">
        <v>-6.0550000000000992E-2</v>
      </c>
      <c r="AB31" s="2">
        <v>0.6740925662127597</v>
      </c>
    </row>
    <row r="32" spans="1:28" x14ac:dyDescent="0.2">
      <c r="A32" s="2">
        <v>61987</v>
      </c>
      <c r="C32" s="2" t="s">
        <v>46</v>
      </c>
      <c r="D32" s="2" t="s">
        <v>47</v>
      </c>
      <c r="E32" s="2" t="s">
        <v>37</v>
      </c>
      <c r="F32" s="2">
        <v>31</v>
      </c>
      <c r="G32" s="2" t="str">
        <f>IFERROR(VLOOKUP(F32,Picks!$A$2:$B$231,2,0),"")</f>
        <v>Sousa</v>
      </c>
      <c r="H32" s="2">
        <v>20</v>
      </c>
      <c r="I32" s="4">
        <v>0.52631578947368418</v>
      </c>
      <c r="J32" s="4">
        <v>3.99</v>
      </c>
      <c r="K32" s="4">
        <v>2.1</v>
      </c>
      <c r="L32" s="4">
        <v>0.85487373561285818</v>
      </c>
      <c r="M32" s="2" t="s">
        <v>621</v>
      </c>
      <c r="N32" s="2">
        <v>34</v>
      </c>
      <c r="O32" s="4">
        <v>-2.3475296602742959</v>
      </c>
      <c r="P32" s="4">
        <v>-2.7363842665774012</v>
      </c>
      <c r="Q32" s="4">
        <v>-2.6390370629940061</v>
      </c>
      <c r="R32" s="4">
        <v>-2.8824050719524941</v>
      </c>
      <c r="S32" s="2">
        <v>-2.3475000000000001</v>
      </c>
      <c r="T32" s="2">
        <v>-2.625593117408906</v>
      </c>
      <c r="U32" s="2" t="s">
        <v>621</v>
      </c>
      <c r="V32" s="2">
        <v>160</v>
      </c>
      <c r="W32" s="4">
        <v>-0.8365492937197937</v>
      </c>
      <c r="X32" s="4">
        <v>-0.97511880863043432</v>
      </c>
      <c r="Y32" s="4">
        <v>-0.82323022887886133</v>
      </c>
      <c r="Z32" s="4">
        <v>-1.202951678257794</v>
      </c>
      <c r="AA32" s="2">
        <v>-0.91055000000000064</v>
      </c>
      <c r="AB32" s="2">
        <v>-1.3016969074714511</v>
      </c>
    </row>
    <row r="33" spans="1:28" x14ac:dyDescent="0.2">
      <c r="A33" s="2">
        <v>97867</v>
      </c>
      <c r="C33" s="2" t="s">
        <v>261</v>
      </c>
      <c r="D33" s="2" t="s">
        <v>47</v>
      </c>
      <c r="E33" s="2" t="s">
        <v>53</v>
      </c>
      <c r="F33" s="2">
        <v>32</v>
      </c>
      <c r="G33" s="2" t="str">
        <f>IFERROR(VLOOKUP(F33,Picks!$A$2:$B$231,2,0),"")</f>
        <v>Anuda</v>
      </c>
      <c r="H33" s="2">
        <v>26</v>
      </c>
      <c r="I33" s="4">
        <v>0.68421052631578949</v>
      </c>
      <c r="J33" s="4">
        <v>4.7699999999999996</v>
      </c>
      <c r="K33" s="4">
        <v>3.263684210526316</v>
      </c>
      <c r="L33" s="4">
        <v>1.435705649232305</v>
      </c>
      <c r="M33" s="2" t="s">
        <v>620</v>
      </c>
      <c r="N33" s="2">
        <v>10</v>
      </c>
      <c r="O33" s="4">
        <v>-0.15166671505136331</v>
      </c>
      <c r="P33" s="4">
        <v>-0.16753881313813379</v>
      </c>
      <c r="Q33" s="4">
        <v>-0.21924430572350351</v>
      </c>
      <c r="R33" s="4">
        <v>-8.9980574260079438E-2</v>
      </c>
      <c r="S33" s="2">
        <v>-8.6999999999999744E-2</v>
      </c>
      <c r="T33" s="2">
        <v>-4.9920953848585643E-2</v>
      </c>
      <c r="U33" s="2" t="s">
        <v>648</v>
      </c>
      <c r="V33" s="2">
        <v>112</v>
      </c>
      <c r="W33" s="4">
        <v>-0.1102932870999685</v>
      </c>
      <c r="X33" s="4">
        <v>-0.1218356078429884</v>
      </c>
      <c r="Y33" s="4">
        <v>-0.1180305380046525</v>
      </c>
      <c r="Z33" s="4">
        <v>-0.12754321260049239</v>
      </c>
      <c r="AA33" s="2">
        <v>-0.1305500000000013</v>
      </c>
      <c r="AB33" s="2">
        <v>-0.13801269694513521</v>
      </c>
    </row>
    <row r="34" spans="1:28" x14ac:dyDescent="0.2">
      <c r="A34" s="2">
        <v>92854</v>
      </c>
      <c r="C34" s="2" t="s">
        <v>219</v>
      </c>
      <c r="D34" s="2" t="s">
        <v>58</v>
      </c>
      <c r="E34" s="2" t="s">
        <v>27</v>
      </c>
      <c r="F34" s="2">
        <v>33</v>
      </c>
      <c r="G34" s="2" t="str">
        <f>IFERROR(VLOOKUP(F34,Picks!$A$2:$B$231,2,0),"")</f>
        <v>Fochesato</v>
      </c>
      <c r="H34" s="2">
        <v>29</v>
      </c>
      <c r="I34" s="4">
        <v>0.76315789473684215</v>
      </c>
      <c r="J34" s="4">
        <v>3.98</v>
      </c>
      <c r="K34" s="4">
        <v>3.0373684210526322</v>
      </c>
      <c r="L34" s="4">
        <v>0.74314357666162212</v>
      </c>
      <c r="M34" s="2" t="s">
        <v>653</v>
      </c>
      <c r="N34" s="2">
        <v>43</v>
      </c>
      <c r="O34" s="4">
        <v>-1.1721207472352411</v>
      </c>
      <c r="P34" s="4">
        <v>-1.261773042349551</v>
      </c>
      <c r="Q34" s="4">
        <v>-1.2996084501351131</v>
      </c>
      <c r="R34" s="4">
        <v>-1.205019930671209</v>
      </c>
      <c r="S34" s="2">
        <v>-1.6913333333333329</v>
      </c>
      <c r="T34" s="2">
        <v>-1.321564089602024</v>
      </c>
      <c r="U34" s="2" t="s">
        <v>653</v>
      </c>
      <c r="V34" s="2">
        <v>126</v>
      </c>
      <c r="W34" s="4">
        <v>-0.58898898039686798</v>
      </c>
      <c r="X34" s="4">
        <v>-0.6340391290391213</v>
      </c>
      <c r="Y34" s="4">
        <v>-0.83227125055673612</v>
      </c>
      <c r="Z34" s="4">
        <v>-0.33669094676269901</v>
      </c>
      <c r="AA34" s="2">
        <v>-0.92055000000000087</v>
      </c>
      <c r="AB34" s="2">
        <v>-0.36432848641881899</v>
      </c>
    </row>
    <row r="35" spans="1:28" x14ac:dyDescent="0.2">
      <c r="A35" s="2">
        <v>109573</v>
      </c>
      <c r="C35" s="2" t="s">
        <v>403</v>
      </c>
      <c r="D35" s="2" t="s">
        <v>23</v>
      </c>
      <c r="E35" s="2" t="s">
        <v>29</v>
      </c>
      <c r="F35" s="2">
        <v>34</v>
      </c>
      <c r="G35" s="2" t="str">
        <f>IFERROR(VLOOKUP(F35,Picks!$A$2:$B$231,2,0),"")</f>
        <v>Petindá</v>
      </c>
      <c r="H35" s="2">
        <v>31</v>
      </c>
      <c r="I35" s="4">
        <v>0.81578947368421051</v>
      </c>
      <c r="J35" s="4">
        <v>2.7</v>
      </c>
      <c r="K35" s="4">
        <v>2.2026315789473681</v>
      </c>
      <c r="L35" s="4">
        <v>1.1331531806722821</v>
      </c>
      <c r="M35" s="2" t="s">
        <v>621</v>
      </c>
      <c r="N35" s="2">
        <v>58</v>
      </c>
      <c r="O35" s="4">
        <v>-1.4502386988730971</v>
      </c>
      <c r="P35" s="4">
        <v>-1.535071603264003</v>
      </c>
      <c r="Q35" s="4">
        <v>-1.7490632624818909</v>
      </c>
      <c r="R35" s="4">
        <v>-1.2140841144371699</v>
      </c>
      <c r="S35" s="2">
        <v>-2.1773333333333329</v>
      </c>
      <c r="T35" s="2">
        <v>-1.3949886261405151</v>
      </c>
      <c r="U35" s="2" t="s">
        <v>655</v>
      </c>
      <c r="V35" s="2">
        <v>212</v>
      </c>
      <c r="W35" s="4">
        <v>-1.5464921322317851</v>
      </c>
      <c r="X35" s="4">
        <v>-1.6369554603010541</v>
      </c>
      <c r="Y35" s="4">
        <v>-1.989522025324669</v>
      </c>
      <c r="Z35" s="4">
        <v>-1.1081056127656299</v>
      </c>
      <c r="AA35" s="2">
        <v>-2.2005500000000011</v>
      </c>
      <c r="AB35" s="2">
        <v>-1.199065328524082</v>
      </c>
    </row>
    <row r="36" spans="1:28" x14ac:dyDescent="0.2">
      <c r="A36" s="2">
        <v>109401</v>
      </c>
      <c r="C36" s="2" t="s">
        <v>402</v>
      </c>
      <c r="D36" s="2" t="s">
        <v>45</v>
      </c>
      <c r="E36" s="2" t="s">
        <v>27</v>
      </c>
      <c r="F36" s="2">
        <v>35</v>
      </c>
      <c r="G36" s="2" t="str">
        <f>IFERROR(VLOOKUP(F36,Picks!$A$2:$B$231,2,0),"")</f>
        <v>Rodolfo</v>
      </c>
      <c r="H36" s="2">
        <v>24</v>
      </c>
      <c r="I36" s="4">
        <v>0.63157894736842102</v>
      </c>
      <c r="J36" s="4">
        <v>5.64</v>
      </c>
      <c r="K36" s="4">
        <v>3.562105263157894</v>
      </c>
      <c r="L36" s="4">
        <v>1.209946685398916</v>
      </c>
      <c r="M36" s="2" t="s">
        <v>631</v>
      </c>
      <c r="N36" s="2">
        <v>9</v>
      </c>
      <c r="O36" s="4">
        <v>-0.27135076806775321</v>
      </c>
      <c r="P36" s="4">
        <v>-0.305068910845403</v>
      </c>
      <c r="Q36" s="4">
        <v>-2.407630948220359E-2</v>
      </c>
      <c r="R36" s="4">
        <v>-0.72655781289020205</v>
      </c>
      <c r="S36" s="2">
        <v>-3.1333333333333442E-2</v>
      </c>
      <c r="T36" s="2">
        <v>-0.79682724749676126</v>
      </c>
      <c r="U36" s="2" t="s">
        <v>631</v>
      </c>
      <c r="V36" s="2">
        <v>24</v>
      </c>
      <c r="W36" s="4">
        <v>0.40953057866077758</v>
      </c>
      <c r="X36" s="4">
        <v>0.46041899376063761</v>
      </c>
      <c r="Y36" s="4">
        <v>0.66853834797042744</v>
      </c>
      <c r="Z36" s="4">
        <v>0.14823996244595269</v>
      </c>
      <c r="AA36" s="2">
        <v>0.73944999999999883</v>
      </c>
      <c r="AB36" s="2">
        <v>0.16040835568644371</v>
      </c>
    </row>
    <row r="37" spans="1:28" x14ac:dyDescent="0.2">
      <c r="A37" s="2">
        <v>132553</v>
      </c>
      <c r="C37" s="2" t="s">
        <v>559</v>
      </c>
      <c r="D37" s="2" t="s">
        <v>23</v>
      </c>
      <c r="E37" s="2" t="s">
        <v>53</v>
      </c>
      <c r="F37" s="2">
        <v>36</v>
      </c>
      <c r="G37" s="2" t="str">
        <f>IFERROR(VLOOKUP(F37,Picks!$A$2:$B$231,2,0),"")</f>
        <v>Fernando</v>
      </c>
      <c r="H37" s="2">
        <v>34</v>
      </c>
      <c r="I37" s="4">
        <v>0.91891891891891897</v>
      </c>
      <c r="J37" s="4">
        <v>4.53</v>
      </c>
      <c r="K37" s="4">
        <v>4.1627027027027026</v>
      </c>
      <c r="L37" s="4">
        <v>1.030088045451155</v>
      </c>
      <c r="M37" s="2" t="s">
        <v>620</v>
      </c>
      <c r="N37" s="2">
        <v>8</v>
      </c>
      <c r="O37" s="4">
        <v>0.1148881346301209</v>
      </c>
      <c r="P37" s="4">
        <v>0.1177523817538635</v>
      </c>
      <c r="Q37" s="4">
        <v>-0.82405618358144417</v>
      </c>
      <c r="R37" s="4">
        <v>1.5304652297568251</v>
      </c>
      <c r="S37" s="2">
        <v>-0.32699999999999912</v>
      </c>
      <c r="T37" s="2">
        <v>0.84909753832780233</v>
      </c>
      <c r="U37" s="2" t="s">
        <v>647</v>
      </c>
      <c r="V37" s="2">
        <v>58</v>
      </c>
      <c r="W37" s="4">
        <v>7.8348389676302477E-2</v>
      </c>
      <c r="X37" s="4">
        <v>8.0301673629451287E-2</v>
      </c>
      <c r="Y37" s="4">
        <v>-0.33501505827363942</v>
      </c>
      <c r="Z37" s="4">
        <v>0.70327677148408729</v>
      </c>
      <c r="AA37" s="2">
        <v>-0.3705500000000006</v>
      </c>
      <c r="AB37" s="2">
        <v>0.76100579523125278</v>
      </c>
    </row>
    <row r="38" spans="1:28" x14ac:dyDescent="0.2">
      <c r="A38" s="2">
        <v>99552</v>
      </c>
      <c r="C38" s="2" t="s">
        <v>283</v>
      </c>
      <c r="D38" s="2" t="s">
        <v>47</v>
      </c>
      <c r="E38" s="2" t="s">
        <v>24</v>
      </c>
      <c r="F38" s="2">
        <v>37</v>
      </c>
      <c r="G38" s="2" t="str">
        <f>IFERROR(VLOOKUP(F38,Picks!$A$2:$B$231,2,0),"")</f>
        <v>Carlos</v>
      </c>
      <c r="H38" s="2">
        <v>35</v>
      </c>
      <c r="I38" s="4">
        <v>0.92105263157894735</v>
      </c>
      <c r="J38" s="4">
        <v>5.61</v>
      </c>
      <c r="K38" s="4">
        <v>5.1671052631578949</v>
      </c>
      <c r="L38" s="4">
        <v>1.6156505412397359</v>
      </c>
      <c r="M38" s="2" t="s">
        <v>630</v>
      </c>
      <c r="N38" s="2">
        <v>1</v>
      </c>
      <c r="O38" s="4">
        <v>0.58265806347840043</v>
      </c>
      <c r="P38" s="4">
        <v>0.59679262566520797</v>
      </c>
      <c r="Q38" s="4">
        <v>5.482623336197056E-2</v>
      </c>
      <c r="R38" s="4">
        <v>1.409742214120064</v>
      </c>
      <c r="S38" s="2">
        <v>6.9000000000000838E-2</v>
      </c>
      <c r="T38" s="2">
        <v>1.0054651493598861</v>
      </c>
      <c r="U38" s="2" t="s">
        <v>646</v>
      </c>
      <c r="V38" s="2">
        <v>15</v>
      </c>
      <c r="W38" s="4">
        <v>1.0128727369055659</v>
      </c>
      <c r="X38" s="4">
        <v>1.037443773649906</v>
      </c>
      <c r="Y38" s="4">
        <v>0.6414152829368045</v>
      </c>
      <c r="Z38" s="4">
        <v>1.631486509719559</v>
      </c>
      <c r="AA38" s="2">
        <v>0.70944999999999947</v>
      </c>
      <c r="AB38" s="2">
        <v>1.7654083556864439</v>
      </c>
    </row>
    <row r="39" spans="1:28" x14ac:dyDescent="0.2">
      <c r="A39" s="2">
        <v>109096</v>
      </c>
      <c r="C39" s="2" t="s">
        <v>398</v>
      </c>
      <c r="D39" s="2" t="s">
        <v>47</v>
      </c>
      <c r="E39" s="2" t="s">
        <v>27</v>
      </c>
      <c r="F39" s="2">
        <v>38</v>
      </c>
      <c r="G39" s="2" t="str">
        <f>IFERROR(VLOOKUP(F39,Picks!$A$2:$B$231,2,0),"")</f>
        <v>Fellipe</v>
      </c>
      <c r="H39" s="2">
        <v>27</v>
      </c>
      <c r="I39" s="4">
        <v>0.71052631578947367</v>
      </c>
      <c r="J39" s="4">
        <v>3.25</v>
      </c>
      <c r="K39" s="4">
        <v>2.3092105263157889</v>
      </c>
      <c r="L39" s="4">
        <v>0.94779117325923035</v>
      </c>
      <c r="M39" s="2" t="s">
        <v>657</v>
      </c>
      <c r="N39" s="2">
        <v>59</v>
      </c>
      <c r="O39" s="4">
        <v>-1.7020411932044011</v>
      </c>
      <c r="P39" s="4">
        <v>-1.863906782183494</v>
      </c>
      <c r="Q39" s="4">
        <v>-1.860535234880067</v>
      </c>
      <c r="R39" s="4">
        <v>-1.868964103138635</v>
      </c>
      <c r="S39" s="2">
        <v>-2.4213333333333331</v>
      </c>
      <c r="T39" s="2">
        <v>-2.0497219843388659</v>
      </c>
      <c r="U39" s="2" t="s">
        <v>657</v>
      </c>
      <c r="V39" s="2">
        <v>231</v>
      </c>
      <c r="W39" s="4">
        <v>-1.1863785250739689</v>
      </c>
      <c r="X39" s="4">
        <v>-1.29920414849599</v>
      </c>
      <c r="Y39" s="4">
        <v>-1.492265833041573</v>
      </c>
      <c r="Z39" s="4">
        <v>-1.0096116216776141</v>
      </c>
      <c r="AA39" s="2">
        <v>-1.6505500000000011</v>
      </c>
      <c r="AB39" s="2">
        <v>-1.0924863811556611</v>
      </c>
    </row>
    <row r="40" spans="1:28" x14ac:dyDescent="0.2">
      <c r="A40" s="2">
        <v>143193</v>
      </c>
      <c r="C40" s="2" t="s">
        <v>594</v>
      </c>
      <c r="D40" s="2" t="s">
        <v>43</v>
      </c>
      <c r="E40" s="2" t="s">
        <v>27</v>
      </c>
      <c r="F40" s="2">
        <v>39</v>
      </c>
      <c r="G40" s="2" t="str">
        <f>IFERROR(VLOOKUP(F40,Picks!$A$2:$B$231,2,0),"")</f>
        <v>Vidal</v>
      </c>
      <c r="I40" s="4"/>
      <c r="J40" s="4"/>
      <c r="K40" s="4"/>
      <c r="L40" s="4"/>
      <c r="M40" s="2" t="s">
        <v>649</v>
      </c>
      <c r="N40" s="2">
        <v>26</v>
      </c>
      <c r="O40" s="4"/>
      <c r="P40" s="4"/>
      <c r="Q40" s="4"/>
      <c r="R40" s="4"/>
      <c r="U40" s="2" t="s">
        <v>647</v>
      </c>
      <c r="V40" s="2">
        <v>57</v>
      </c>
      <c r="W40" s="4"/>
      <c r="X40" s="4"/>
      <c r="Y40" s="4"/>
      <c r="Z40" s="4"/>
    </row>
    <row r="41" spans="1:28" x14ac:dyDescent="0.2">
      <c r="A41" s="2">
        <v>107093</v>
      </c>
      <c r="C41" s="2" t="s">
        <v>373</v>
      </c>
      <c r="D41" s="2" t="s">
        <v>45</v>
      </c>
      <c r="E41" s="2" t="s">
        <v>37</v>
      </c>
      <c r="F41" s="2">
        <v>40</v>
      </c>
      <c r="G41" s="2" t="str">
        <f>IFERROR(VLOOKUP(F41,Picks!$A$2:$B$231,2,0),"")</f>
        <v>Massa</v>
      </c>
      <c r="H41" s="2">
        <v>33</v>
      </c>
      <c r="I41" s="4">
        <v>0.86842105263157898</v>
      </c>
      <c r="J41" s="4">
        <v>5.53</v>
      </c>
      <c r="K41" s="4">
        <v>4.8023684210526323</v>
      </c>
      <c r="L41" s="4">
        <v>1.454678624448281</v>
      </c>
      <c r="M41" s="2" t="s">
        <v>620</v>
      </c>
      <c r="N41" s="2">
        <v>7</v>
      </c>
      <c r="O41" s="4">
        <v>-0.49078702933763751</v>
      </c>
      <c r="P41" s="4">
        <v>-0.51095635931041716</v>
      </c>
      <c r="Q41" s="4">
        <v>-0.9077837820522513</v>
      </c>
      <c r="R41" s="4">
        <v>8.4284774802334039E-2</v>
      </c>
      <c r="S41" s="2">
        <v>-0.80750000000000011</v>
      </c>
      <c r="T41" s="2">
        <v>7.6775303643725756E-2</v>
      </c>
      <c r="U41" s="2" t="s">
        <v>646</v>
      </c>
      <c r="V41" s="2">
        <v>17</v>
      </c>
      <c r="W41" s="4">
        <v>0.82530297880076808</v>
      </c>
      <c r="X41" s="4">
        <v>0.85921953957340236</v>
      </c>
      <c r="Y41" s="4">
        <v>0.56908710951380859</v>
      </c>
      <c r="Z41" s="4">
        <v>1.2944181846627929</v>
      </c>
      <c r="AA41" s="2">
        <v>0.6294499999999994</v>
      </c>
      <c r="AB41" s="2">
        <v>1.400671513581182</v>
      </c>
    </row>
    <row r="42" spans="1:28" x14ac:dyDescent="0.2">
      <c r="A42" s="2">
        <v>104084</v>
      </c>
      <c r="C42" s="2" t="s">
        <v>332</v>
      </c>
      <c r="D42" s="2" t="s">
        <v>65</v>
      </c>
      <c r="E42" s="2" t="s">
        <v>24</v>
      </c>
      <c r="F42" s="2">
        <v>41</v>
      </c>
      <c r="G42" s="2" t="str">
        <f>IFERROR(VLOOKUP(F42,Picks!$A$2:$B$231,2,0),"")</f>
        <v>Massa</v>
      </c>
      <c r="H42" s="2">
        <v>6</v>
      </c>
      <c r="I42" s="4">
        <v>0.31578947368421051</v>
      </c>
      <c r="J42" s="4">
        <v>8.52</v>
      </c>
      <c r="K42" s="4">
        <v>2.690526315789473</v>
      </c>
      <c r="L42" s="4">
        <v>4.3045121844639764</v>
      </c>
      <c r="M42" s="2" t="s">
        <v>622</v>
      </c>
      <c r="N42" s="2">
        <v>3</v>
      </c>
      <c r="O42" s="4">
        <v>0.47301968934527139</v>
      </c>
      <c r="P42" s="4">
        <v>0.59519033758676532</v>
      </c>
      <c r="Q42" s="4">
        <v>2.367063031671135</v>
      </c>
      <c r="R42" s="4">
        <v>-2.0626187035397892</v>
      </c>
      <c r="S42" s="2">
        <v>2.9790000000000001</v>
      </c>
      <c r="T42" s="2">
        <v>-1.4711137980085349</v>
      </c>
      <c r="U42" s="2" t="s">
        <v>646</v>
      </c>
      <c r="V42" s="2">
        <v>19</v>
      </c>
      <c r="W42" s="4">
        <v>1.351468081114845</v>
      </c>
      <c r="X42" s="4">
        <v>1.700522751071659</v>
      </c>
      <c r="Y42" s="4">
        <v>3.272352591198278</v>
      </c>
      <c r="Z42" s="4">
        <v>-0.65722200911826789</v>
      </c>
      <c r="AA42" s="2">
        <v>3.6194499999999992</v>
      </c>
      <c r="AB42" s="2">
        <v>-0.71117059168197727</v>
      </c>
    </row>
    <row r="43" spans="1:28" x14ac:dyDescent="0.2">
      <c r="A43" s="2">
        <v>70360</v>
      </c>
      <c r="C43" s="2" t="s">
        <v>76</v>
      </c>
      <c r="D43" s="2" t="s">
        <v>77</v>
      </c>
      <c r="E43" s="2" t="s">
        <v>27</v>
      </c>
      <c r="F43" s="2">
        <v>42</v>
      </c>
      <c r="G43" s="2" t="str">
        <f>IFERROR(VLOOKUP(F43,Picks!$A$2:$B$231,2,0),"")</f>
        <v>Vidal</v>
      </c>
      <c r="H43" s="2">
        <v>30</v>
      </c>
      <c r="I43" s="4">
        <v>0.78947368421052633</v>
      </c>
      <c r="J43" s="4">
        <v>3.95</v>
      </c>
      <c r="K43" s="4">
        <v>3.1184210526315792</v>
      </c>
      <c r="L43" s="4">
        <v>1.140266402203586</v>
      </c>
      <c r="M43" s="2" t="s">
        <v>648</v>
      </c>
      <c r="N43" s="2">
        <v>38</v>
      </c>
      <c r="O43" s="4">
        <v>-1.167344761771955</v>
      </c>
      <c r="P43" s="4">
        <v>-1.246042161441975</v>
      </c>
      <c r="Q43" s="4">
        <v>-1.3226602358095629</v>
      </c>
      <c r="R43" s="4">
        <v>-1.131115049890592</v>
      </c>
      <c r="S43" s="2">
        <v>-1.7213333333333329</v>
      </c>
      <c r="T43" s="2">
        <v>-1.2405114580230761</v>
      </c>
      <c r="U43" s="2" t="s">
        <v>619</v>
      </c>
      <c r="V43" s="2">
        <v>93</v>
      </c>
      <c r="W43" s="4">
        <v>-0.58117125458649554</v>
      </c>
      <c r="X43" s="4">
        <v>-0.62035133916536034</v>
      </c>
      <c r="Y43" s="4">
        <v>-0.85939431559035928</v>
      </c>
      <c r="Z43" s="4">
        <v>-0.26178687452786198</v>
      </c>
      <c r="AA43" s="2">
        <v>-0.95055000000000067</v>
      </c>
      <c r="AB43" s="2">
        <v>-0.2832758548398715</v>
      </c>
    </row>
    <row r="44" spans="1:28" x14ac:dyDescent="0.2">
      <c r="A44" s="2">
        <v>132071</v>
      </c>
      <c r="C44" s="2" t="s">
        <v>555</v>
      </c>
      <c r="D44" s="2" t="s">
        <v>23</v>
      </c>
      <c r="E44" s="2" t="s">
        <v>27</v>
      </c>
      <c r="F44" s="2">
        <v>43</v>
      </c>
      <c r="G44" s="2" t="str">
        <f>IFERROR(VLOOKUP(F44,Picks!$A$2:$B$231,2,0),"")</f>
        <v>Fellipe</v>
      </c>
      <c r="H44" s="2">
        <v>32</v>
      </c>
      <c r="I44" s="4">
        <v>0.84210526315789469</v>
      </c>
      <c r="J44" s="4">
        <v>5.21</v>
      </c>
      <c r="K44" s="4">
        <v>4.3873684210526314</v>
      </c>
      <c r="L44" s="4">
        <v>1.4420347022535751</v>
      </c>
      <c r="M44" s="2" t="s">
        <v>620</v>
      </c>
      <c r="N44" s="2">
        <v>11</v>
      </c>
      <c r="O44" s="4">
        <v>-0.1927362725400337</v>
      </c>
      <c r="P44" s="4">
        <v>-0.20231984410279791</v>
      </c>
      <c r="Q44" s="4">
        <v>-0.35448523748265592</v>
      </c>
      <c r="R44" s="4">
        <v>2.592824596698913E-2</v>
      </c>
      <c r="S44" s="2">
        <v>-0.46133333333333321</v>
      </c>
      <c r="T44" s="2">
        <v>2.8435910397975661E-2</v>
      </c>
      <c r="U44" s="2" t="s">
        <v>631</v>
      </c>
      <c r="V44" s="2">
        <v>28</v>
      </c>
      <c r="W44" s="4">
        <v>0.50701385845481084</v>
      </c>
      <c r="X44" s="4">
        <v>0.53222449230063018</v>
      </c>
      <c r="Y44" s="4">
        <v>0.279774415821825</v>
      </c>
      <c r="Z44" s="4">
        <v>0.91089960701883799</v>
      </c>
      <c r="AA44" s="2">
        <v>0.30944999999999911</v>
      </c>
      <c r="AB44" s="2">
        <v>0.98567151358118066</v>
      </c>
    </row>
    <row r="45" spans="1:28" x14ac:dyDescent="0.2">
      <c r="A45" s="2">
        <v>73384</v>
      </c>
      <c r="C45" s="2" t="s">
        <v>96</v>
      </c>
      <c r="D45" s="2" t="s">
        <v>23</v>
      </c>
      <c r="E45" s="2" t="s">
        <v>37</v>
      </c>
      <c r="F45" s="2">
        <v>44</v>
      </c>
      <c r="G45" s="2" t="str">
        <f>IFERROR(VLOOKUP(F45,Picks!$A$2:$B$231,2,0),"")</f>
        <v>Carlos</v>
      </c>
      <c r="H45" s="2">
        <v>27</v>
      </c>
      <c r="I45" s="4">
        <v>0.71052631578947367</v>
      </c>
      <c r="J45" s="4">
        <v>5.61</v>
      </c>
      <c r="K45" s="4">
        <v>3.9860526315789482</v>
      </c>
      <c r="L45" s="4">
        <v>1.427622166326451</v>
      </c>
      <c r="M45" s="2" t="s">
        <v>619</v>
      </c>
      <c r="N45" s="2">
        <v>15</v>
      </c>
      <c r="O45" s="4">
        <v>-0.74464319586396188</v>
      </c>
      <c r="P45" s="4">
        <v>-0.81545940757436752</v>
      </c>
      <c r="Q45" s="4">
        <v>-0.81784854667865359</v>
      </c>
      <c r="R45" s="4">
        <v>-0.81187569891793843</v>
      </c>
      <c r="S45" s="2">
        <v>-0.72750000000000004</v>
      </c>
      <c r="T45" s="2">
        <v>-0.73954048582995879</v>
      </c>
      <c r="U45" s="2" t="s">
        <v>620</v>
      </c>
      <c r="V45" s="2">
        <v>41</v>
      </c>
      <c r="W45" s="4">
        <v>0.5486800876404867</v>
      </c>
      <c r="X45" s="4">
        <v>0.60086003833828516</v>
      </c>
      <c r="Y45" s="4">
        <v>0.6414152829368045</v>
      </c>
      <c r="Z45" s="4">
        <v>0.54002717144050627</v>
      </c>
      <c r="AA45" s="2">
        <v>0.70944999999999947</v>
      </c>
      <c r="AB45" s="2">
        <v>0.58435572410749703</v>
      </c>
    </row>
    <row r="46" spans="1:28" x14ac:dyDescent="0.2">
      <c r="A46" s="2">
        <v>42234</v>
      </c>
      <c r="C46" s="2" t="s">
        <v>34</v>
      </c>
      <c r="D46" s="2" t="s">
        <v>35</v>
      </c>
      <c r="E46" s="2" t="s">
        <v>24</v>
      </c>
      <c r="F46" s="2">
        <v>45</v>
      </c>
      <c r="G46" s="2" t="str">
        <f>IFERROR(VLOOKUP(F46,Picks!$A$2:$B$231,2,0),"")</f>
        <v>Fernando</v>
      </c>
      <c r="H46" s="2">
        <v>35</v>
      </c>
      <c r="I46" s="4">
        <v>0.92105263157894735</v>
      </c>
      <c r="J46" s="4">
        <v>5.52</v>
      </c>
      <c r="K46" s="4">
        <v>5.0842105263157888</v>
      </c>
      <c r="L46" s="4">
        <v>1.084308912590497</v>
      </c>
      <c r="M46" s="2" t="s">
        <v>630</v>
      </c>
      <c r="N46" s="2">
        <v>2</v>
      </c>
      <c r="O46" s="4">
        <v>0.4953778765186776</v>
      </c>
      <c r="P46" s="4">
        <v>0.50739512958786381</v>
      </c>
      <c r="Q46" s="4">
        <v>-1.6686244936251631E-2</v>
      </c>
      <c r="R46" s="4">
        <v>1.2935171913740371</v>
      </c>
      <c r="S46" s="2">
        <v>-2.0999999999999911E-2</v>
      </c>
      <c r="T46" s="2">
        <v>0.92257041251778027</v>
      </c>
      <c r="U46" s="2" t="s">
        <v>646</v>
      </c>
      <c r="V46" s="2">
        <v>18</v>
      </c>
      <c r="W46" s="4">
        <v>0.93529068912564906</v>
      </c>
      <c r="X46" s="4">
        <v>0.95797968158422275</v>
      </c>
      <c r="Y46" s="4">
        <v>0.56004608783593357</v>
      </c>
      <c r="Z46" s="4">
        <v>1.554880072206656</v>
      </c>
      <c r="AA46" s="2">
        <v>0.61944999999999872</v>
      </c>
      <c r="AB46" s="2">
        <v>1.6825136188443379</v>
      </c>
    </row>
    <row r="47" spans="1:28" x14ac:dyDescent="0.2">
      <c r="A47" s="2">
        <v>102928</v>
      </c>
      <c r="C47" s="2" t="s">
        <v>319</v>
      </c>
      <c r="D47" s="2" t="s">
        <v>23</v>
      </c>
      <c r="E47" s="2" t="s">
        <v>27</v>
      </c>
      <c r="F47" s="2">
        <v>46</v>
      </c>
      <c r="G47" s="2" t="str">
        <f>IFERROR(VLOOKUP(F47,Picks!$A$2:$B$231,2,0),"")</f>
        <v>Rodolfo</v>
      </c>
      <c r="H47" s="2">
        <v>28</v>
      </c>
      <c r="I47" s="4">
        <v>0.73684210526315785</v>
      </c>
      <c r="J47" s="4">
        <v>5.28</v>
      </c>
      <c r="K47" s="4">
        <v>3.8905263157894741</v>
      </c>
      <c r="L47" s="4">
        <v>1.0490683057358909</v>
      </c>
      <c r="M47" s="2" t="s">
        <v>620</v>
      </c>
      <c r="N47" s="2">
        <v>12</v>
      </c>
      <c r="O47" s="4">
        <v>-0.3235273563587342</v>
      </c>
      <c r="P47" s="4">
        <v>-0.35125827261805431</v>
      </c>
      <c r="Q47" s="4">
        <v>-0.30069773757560531</v>
      </c>
      <c r="R47" s="4">
        <v>-0.42709907518172779</v>
      </c>
      <c r="S47" s="2">
        <v>-0.39133333333333292</v>
      </c>
      <c r="T47" s="2">
        <v>-0.46840619486518209</v>
      </c>
      <c r="U47" s="2" t="s">
        <v>620</v>
      </c>
      <c r="V47" s="2">
        <v>29</v>
      </c>
      <c r="W47" s="4">
        <v>0.3560198980841619</v>
      </c>
      <c r="X47" s="4">
        <v>0.38653588934851862</v>
      </c>
      <c r="Y47" s="4">
        <v>0.34306156756694661</v>
      </c>
      <c r="Z47" s="4">
        <v>0.45174737202087661</v>
      </c>
      <c r="AA47" s="2">
        <v>0.3794499999999994</v>
      </c>
      <c r="AB47" s="2">
        <v>0.48882940831802291</v>
      </c>
    </row>
    <row r="48" spans="1:28" x14ac:dyDescent="0.2">
      <c r="A48" s="2">
        <v>99274</v>
      </c>
      <c r="C48" s="2" t="s">
        <v>280</v>
      </c>
      <c r="D48" s="2" t="s">
        <v>61</v>
      </c>
      <c r="E48" s="2" t="s">
        <v>53</v>
      </c>
      <c r="F48" s="2">
        <v>47</v>
      </c>
      <c r="G48" s="2" t="str">
        <f>IFERROR(VLOOKUP(F48,Picks!$A$2:$B$231,2,0),"")</f>
        <v>Petindá</v>
      </c>
      <c r="H48" s="2">
        <v>21</v>
      </c>
      <c r="I48" s="4">
        <v>0.55263157894736847</v>
      </c>
      <c r="J48" s="4">
        <v>5.05</v>
      </c>
      <c r="K48" s="4">
        <v>2.7907894736842112</v>
      </c>
      <c r="L48" s="4">
        <v>1.155379033580562</v>
      </c>
      <c r="M48" s="2" t="s">
        <v>631</v>
      </c>
      <c r="N48" s="2">
        <v>7</v>
      </c>
      <c r="O48" s="4">
        <v>-7.3696202430557939E-2</v>
      </c>
      <c r="P48" s="4">
        <v>-8.5120233810370871E-2</v>
      </c>
      <c r="Q48" s="4">
        <v>0.48636955177742991</v>
      </c>
      <c r="R48" s="4">
        <v>-0.9423549121920719</v>
      </c>
      <c r="S48" s="2">
        <v>0.1930000000000005</v>
      </c>
      <c r="T48" s="2">
        <v>-0.52281569069069045</v>
      </c>
      <c r="U48" s="2" t="s">
        <v>649</v>
      </c>
      <c r="V48" s="2">
        <v>66</v>
      </c>
      <c r="W48" s="4">
        <v>-0.12532738834319551</v>
      </c>
      <c r="X48" s="4">
        <v>-0.14475503820794619</v>
      </c>
      <c r="Y48" s="4">
        <v>0.1351180689758332</v>
      </c>
      <c r="Z48" s="4">
        <v>-0.56456469898361528</v>
      </c>
      <c r="AA48" s="2">
        <v>0.149449999999999</v>
      </c>
      <c r="AB48" s="2">
        <v>-0.61090743378724</v>
      </c>
    </row>
    <row r="49" spans="1:28" x14ac:dyDescent="0.2">
      <c r="A49" s="2">
        <v>96591</v>
      </c>
      <c r="C49" s="2" t="s">
        <v>243</v>
      </c>
      <c r="D49" s="2" t="s">
        <v>26</v>
      </c>
      <c r="E49" s="2" t="s">
        <v>37</v>
      </c>
      <c r="F49" s="2">
        <v>48</v>
      </c>
      <c r="G49" s="2" t="str">
        <f>IFERROR(VLOOKUP(F49,Picks!$A$2:$B$231,2,0),"")</f>
        <v>Fochesato</v>
      </c>
      <c r="I49" s="4"/>
      <c r="J49" s="4"/>
      <c r="K49" s="4"/>
      <c r="L49" s="4"/>
      <c r="M49" s="2" t="s">
        <v>620</v>
      </c>
      <c r="N49" s="2">
        <v>9</v>
      </c>
      <c r="O49" s="4"/>
      <c r="P49" s="4"/>
      <c r="Q49" s="4"/>
      <c r="R49" s="4"/>
      <c r="U49" s="2" t="s">
        <v>631</v>
      </c>
      <c r="V49" s="2">
        <v>27</v>
      </c>
      <c r="W49" s="4"/>
      <c r="X49" s="4"/>
      <c r="Y49" s="4"/>
      <c r="Z49" s="4"/>
    </row>
    <row r="50" spans="1:28" x14ac:dyDescent="0.2">
      <c r="A50" s="2">
        <v>101314</v>
      </c>
      <c r="C50" s="2" t="s">
        <v>297</v>
      </c>
      <c r="D50" s="2" t="s">
        <v>45</v>
      </c>
      <c r="E50" s="2" t="s">
        <v>27</v>
      </c>
      <c r="F50" s="2">
        <v>49</v>
      </c>
      <c r="G50" s="2" t="str">
        <f>IFERROR(VLOOKUP(F50,Picks!$A$2:$B$231,2,0),"")</f>
        <v>Anuda</v>
      </c>
      <c r="H50" s="2">
        <v>29</v>
      </c>
      <c r="I50" s="4">
        <v>0.76315789473684215</v>
      </c>
      <c r="J50" s="4">
        <v>4.6500000000000004</v>
      </c>
      <c r="K50" s="4">
        <v>3.5486842105263161</v>
      </c>
      <c r="L50" s="4">
        <v>0.98392137908859167</v>
      </c>
      <c r="M50" s="2" t="s">
        <v>649</v>
      </c>
      <c r="N50" s="2">
        <v>22</v>
      </c>
      <c r="O50" s="4">
        <v>-0.71193529164796254</v>
      </c>
      <c r="P50" s="4">
        <v>-0.76638926579667355</v>
      </c>
      <c r="Q50" s="4">
        <v>-0.78478523673905876</v>
      </c>
      <c r="R50" s="4">
        <v>-0.73879530938309579</v>
      </c>
      <c r="S50" s="2">
        <v>-1.021333333333333</v>
      </c>
      <c r="T50" s="2">
        <v>-0.81024830012833959</v>
      </c>
      <c r="U50" s="2" t="s">
        <v>647</v>
      </c>
      <c r="V50" s="2">
        <v>61</v>
      </c>
      <c r="W50" s="4">
        <v>-7.5782479127787544E-2</v>
      </c>
      <c r="X50" s="4">
        <v>-8.157887271546535E-2</v>
      </c>
      <c r="Y50" s="4">
        <v>-0.22652279813914561</v>
      </c>
      <c r="Z50" s="4">
        <v>0.13583701542005491</v>
      </c>
      <c r="AA50" s="2">
        <v>-0.25055000000000049</v>
      </c>
      <c r="AB50" s="2">
        <v>0.1469873030548654</v>
      </c>
    </row>
    <row r="51" spans="1:28" x14ac:dyDescent="0.2">
      <c r="A51" s="2">
        <v>37656</v>
      </c>
      <c r="C51" s="2" t="s">
        <v>22</v>
      </c>
      <c r="D51" s="2" t="s">
        <v>23</v>
      </c>
      <c r="E51" s="2" t="s">
        <v>24</v>
      </c>
      <c r="F51" s="2">
        <v>50</v>
      </c>
      <c r="G51" s="2" t="str">
        <f>IFERROR(VLOOKUP(F51,Picks!$A$2:$B$231,2,0),"")</f>
        <v>Sousa</v>
      </c>
      <c r="H51" s="2">
        <v>36</v>
      </c>
      <c r="I51" s="4">
        <v>0.94736842105263153</v>
      </c>
      <c r="J51" s="4">
        <v>4.33</v>
      </c>
      <c r="K51" s="4">
        <v>4.1021052631578936</v>
      </c>
      <c r="L51" s="4">
        <v>0.73809281933732818</v>
      </c>
      <c r="M51" s="2" t="s">
        <v>619</v>
      </c>
      <c r="N51" s="2">
        <v>9</v>
      </c>
      <c r="O51" s="4">
        <v>-0.60108996110674717</v>
      </c>
      <c r="P51" s="4">
        <v>-0.61073311556300514</v>
      </c>
      <c r="Q51" s="4">
        <v>-0.96224012465718123</v>
      </c>
      <c r="R51" s="4">
        <v>-8.3472601921741121E-2</v>
      </c>
      <c r="S51" s="2">
        <v>-1.210999999999999</v>
      </c>
      <c r="T51" s="2">
        <v>-5.9534850640114101E-2</v>
      </c>
      <c r="U51" s="2" t="s">
        <v>648</v>
      </c>
      <c r="V51" s="2">
        <v>109</v>
      </c>
      <c r="W51" s="4">
        <v>-4.9792019070272822E-2</v>
      </c>
      <c r="X51" s="4">
        <v>-5.0590821515250461E-2</v>
      </c>
      <c r="Y51" s="4">
        <v>-0.5158354918311292</v>
      </c>
      <c r="Z51" s="4">
        <v>0.64727618395856767</v>
      </c>
      <c r="AA51" s="2">
        <v>-0.57055000000000078</v>
      </c>
      <c r="AB51" s="2">
        <v>0.70040835568644377</v>
      </c>
    </row>
    <row r="52" spans="1:28" x14ac:dyDescent="0.2">
      <c r="A52" s="2">
        <v>102130</v>
      </c>
      <c r="C52" s="2" t="s">
        <v>309</v>
      </c>
      <c r="D52" s="2" t="s">
        <v>65</v>
      </c>
      <c r="E52" s="2" t="s">
        <v>37</v>
      </c>
      <c r="F52" s="2">
        <v>51</v>
      </c>
      <c r="G52" s="2" t="str">
        <f>IFERROR(VLOOKUP(F52,Picks!$A$2:$B$231,2,0),"")</f>
        <v>Sousa</v>
      </c>
      <c r="H52" s="2">
        <v>28</v>
      </c>
      <c r="I52" s="4">
        <v>0.73684210526315785</v>
      </c>
      <c r="J52" s="4">
        <v>5.65</v>
      </c>
      <c r="K52" s="4">
        <v>4.1631578947368419</v>
      </c>
      <c r="L52" s="4">
        <v>1.4467230838573</v>
      </c>
      <c r="M52" s="2" t="s">
        <v>649</v>
      </c>
      <c r="N52" s="2">
        <v>11</v>
      </c>
      <c r="O52" s="4">
        <v>-0.6545990985917679</v>
      </c>
      <c r="P52" s="4">
        <v>-0.71070759275677664</v>
      </c>
      <c r="Q52" s="4">
        <v>-0.77288092899185468</v>
      </c>
      <c r="R52" s="4">
        <v>-0.6174475884041597</v>
      </c>
      <c r="S52" s="2">
        <v>-0.6875</v>
      </c>
      <c r="T52" s="2">
        <v>-0.56243522267206458</v>
      </c>
      <c r="U52" s="2" t="s">
        <v>620</v>
      </c>
      <c r="V52" s="2">
        <v>31</v>
      </c>
      <c r="W52" s="4">
        <v>0.6337087059751636</v>
      </c>
      <c r="X52" s="4">
        <v>0.68802659505874908</v>
      </c>
      <c r="Y52" s="4">
        <v>0.67757936964830245</v>
      </c>
      <c r="Z52" s="4">
        <v>0.70369743317441902</v>
      </c>
      <c r="AA52" s="2">
        <v>0.74944999999999951</v>
      </c>
      <c r="AB52" s="2">
        <v>0.76146098726539124</v>
      </c>
    </row>
    <row r="53" spans="1:28" x14ac:dyDescent="0.2">
      <c r="A53" s="2">
        <v>141451</v>
      </c>
      <c r="C53" s="2" t="s">
        <v>73</v>
      </c>
      <c r="D53" s="2" t="s">
        <v>65</v>
      </c>
      <c r="E53" s="2" t="s">
        <v>29</v>
      </c>
      <c r="F53" s="2">
        <v>52</v>
      </c>
      <c r="G53" s="2" t="str">
        <f>IFERROR(VLOOKUP(F53,Picks!$A$2:$B$231,2,0),"")</f>
        <v>Anuda</v>
      </c>
      <c r="H53" s="2">
        <v>24</v>
      </c>
      <c r="I53" s="4">
        <v>0.63157894736842102</v>
      </c>
      <c r="J53" s="4">
        <v>3.35</v>
      </c>
      <c r="K53" s="4">
        <v>2.11578947368421</v>
      </c>
      <c r="L53" s="4">
        <v>1.123337589494606</v>
      </c>
      <c r="M53" s="2" t="s">
        <v>648</v>
      </c>
      <c r="N53" s="2">
        <v>43</v>
      </c>
      <c r="O53" s="4">
        <v>-1.11363410215029</v>
      </c>
      <c r="P53" s="4">
        <v>-1.252014671056539</v>
      </c>
      <c r="Q53" s="4">
        <v>-1.226914860485613</v>
      </c>
      <c r="R53" s="4">
        <v>-1.2896643869129261</v>
      </c>
      <c r="S53" s="2">
        <v>-1.527333333333333</v>
      </c>
      <c r="T53" s="2">
        <v>-1.4818307314036729</v>
      </c>
      <c r="U53" s="2" t="s">
        <v>621</v>
      </c>
      <c r="V53" s="2">
        <v>173</v>
      </c>
      <c r="W53" s="4">
        <v>-1.170954178200837</v>
      </c>
      <c r="X53" s="4">
        <v>-1.316457360107451</v>
      </c>
      <c r="Y53" s="4">
        <v>-1.401855616262828</v>
      </c>
      <c r="Z53" s="4">
        <v>-1.1883599758743839</v>
      </c>
      <c r="AA53" s="2">
        <v>-1.550550000000001</v>
      </c>
      <c r="AB53" s="2">
        <v>-1.28590743378724</v>
      </c>
    </row>
    <row r="54" spans="1:28" x14ac:dyDescent="0.2">
      <c r="A54" s="2">
        <v>94968</v>
      </c>
      <c r="C54" s="2" t="s">
        <v>232</v>
      </c>
      <c r="D54" s="2" t="s">
        <v>77</v>
      </c>
      <c r="E54" s="2" t="s">
        <v>37</v>
      </c>
      <c r="F54" s="2">
        <v>53</v>
      </c>
      <c r="G54" s="2" t="str">
        <f>IFERROR(VLOOKUP(F54,Picks!$A$2:$B$231,2,0),"")</f>
        <v>Fochesato</v>
      </c>
      <c r="H54" s="2">
        <v>21</v>
      </c>
      <c r="I54" s="4">
        <v>0.55263157894736847</v>
      </c>
      <c r="J54" s="4">
        <v>6.01</v>
      </c>
      <c r="K54" s="4">
        <v>3.321315789473684</v>
      </c>
      <c r="L54" s="4">
        <v>1.904724548209509</v>
      </c>
      <c r="M54" s="2" t="s">
        <v>649</v>
      </c>
      <c r="N54" s="2">
        <v>12</v>
      </c>
      <c r="O54" s="4">
        <v>-0.72514706028276188</v>
      </c>
      <c r="P54" s="4">
        <v>-0.83755587509863072</v>
      </c>
      <c r="Q54" s="4">
        <v>-0.36817236981066598</v>
      </c>
      <c r="R54" s="4">
        <v>-1.5416311330305781</v>
      </c>
      <c r="S54" s="2">
        <v>-0.32750000000000062</v>
      </c>
      <c r="T54" s="2">
        <v>-1.4042773279352221</v>
      </c>
      <c r="U54" s="2" t="s">
        <v>620</v>
      </c>
      <c r="V54" s="2">
        <v>32</v>
      </c>
      <c r="W54" s="4">
        <v>0.495335725170643</v>
      </c>
      <c r="X54" s="4">
        <v>0.57212029047065149</v>
      </c>
      <c r="Y54" s="4">
        <v>1.0030561500517829</v>
      </c>
      <c r="Z54" s="4">
        <v>-7.4283498901046158E-2</v>
      </c>
      <c r="AA54" s="2">
        <v>1.1094499999999989</v>
      </c>
      <c r="AB54" s="2">
        <v>-8.038111799776626E-2</v>
      </c>
    </row>
    <row r="55" spans="1:28" x14ac:dyDescent="0.2">
      <c r="A55" s="2">
        <v>105089</v>
      </c>
      <c r="C55" s="2" t="s">
        <v>624</v>
      </c>
      <c r="D55" s="2" t="s">
        <v>31</v>
      </c>
      <c r="E55" s="2" t="s">
        <v>27</v>
      </c>
      <c r="F55" s="2">
        <v>54</v>
      </c>
      <c r="G55" s="2" t="str">
        <f>IFERROR(VLOOKUP(F55,Picks!$A$2:$B$231,2,0),"")</f>
        <v>Petindá</v>
      </c>
      <c r="I55" s="4"/>
      <c r="J55" s="4"/>
      <c r="K55" s="4"/>
      <c r="L55" s="4"/>
      <c r="M55" s="2" t="s">
        <v>619</v>
      </c>
      <c r="N55" s="2">
        <v>34</v>
      </c>
      <c r="O55" s="4"/>
      <c r="P55" s="4"/>
      <c r="Q55" s="4"/>
      <c r="R55" s="4"/>
      <c r="U55" s="2" t="s">
        <v>649</v>
      </c>
      <c r="V55" s="2">
        <v>69</v>
      </c>
      <c r="W55" s="4"/>
      <c r="X55" s="4"/>
      <c r="Y55" s="4"/>
      <c r="Z55" s="4"/>
    </row>
    <row r="56" spans="1:28" x14ac:dyDescent="0.2">
      <c r="A56" s="2">
        <v>117632</v>
      </c>
      <c r="C56" s="2" t="s">
        <v>468</v>
      </c>
      <c r="D56" s="2" t="s">
        <v>99</v>
      </c>
      <c r="E56" s="2" t="s">
        <v>29</v>
      </c>
      <c r="F56" s="2">
        <v>55</v>
      </c>
      <c r="G56" s="2" t="str">
        <f>IFERROR(VLOOKUP(F56,Picks!$A$2:$B$231,2,0),"")</f>
        <v>Rodolfo</v>
      </c>
      <c r="H56" s="2">
        <v>19</v>
      </c>
      <c r="I56" s="4">
        <v>0.5</v>
      </c>
      <c r="J56" s="4">
        <v>3.67</v>
      </c>
      <c r="K56" s="4">
        <v>1.835</v>
      </c>
      <c r="L56" s="4">
        <v>1.6417153754871621</v>
      </c>
      <c r="M56" s="2" t="s">
        <v>619</v>
      </c>
      <c r="N56" s="2">
        <v>32</v>
      </c>
      <c r="O56" s="4">
        <v>-1.016200969110314</v>
      </c>
      <c r="P56" s="4">
        <v>-1.195530551894487</v>
      </c>
      <c r="Q56" s="4">
        <v>-0.96985718565667667</v>
      </c>
      <c r="R56" s="4">
        <v>-1.534040601251204</v>
      </c>
      <c r="S56" s="2">
        <v>-1.207333333333334</v>
      </c>
      <c r="T56" s="2">
        <v>-1.762620205087883</v>
      </c>
      <c r="U56" s="2" t="s">
        <v>653</v>
      </c>
      <c r="V56" s="2">
        <v>139</v>
      </c>
      <c r="W56" s="4">
        <v>-1.0596655788193119</v>
      </c>
      <c r="X56" s="4">
        <v>-1.2466653868462489</v>
      </c>
      <c r="Y56" s="4">
        <v>-1.112542922570845</v>
      </c>
      <c r="Z56" s="4">
        <v>-1.4478490832593549</v>
      </c>
      <c r="AA56" s="2">
        <v>-1.2305500000000009</v>
      </c>
      <c r="AB56" s="2">
        <v>-1.566696907471451</v>
      </c>
    </row>
    <row r="57" spans="1:28" x14ac:dyDescent="0.2">
      <c r="A57" s="2">
        <v>92171</v>
      </c>
      <c r="C57" s="2" t="s">
        <v>212</v>
      </c>
      <c r="D57" s="2" t="s">
        <v>61</v>
      </c>
      <c r="E57" s="2" t="s">
        <v>27</v>
      </c>
      <c r="F57" s="2">
        <v>56</v>
      </c>
      <c r="G57" s="2" t="str">
        <f>IFERROR(VLOOKUP(F57,Picks!$A$2:$B$231,2,0),"")</f>
        <v>Fernando</v>
      </c>
      <c r="H57" s="2">
        <v>20</v>
      </c>
      <c r="I57" s="4">
        <v>0.7407407407407407</v>
      </c>
      <c r="J57" s="4">
        <v>4.07</v>
      </c>
      <c r="K57" s="4">
        <v>3.0148148148148151</v>
      </c>
      <c r="L57" s="4">
        <v>2.0142193244975801</v>
      </c>
      <c r="M57" s="2" t="s">
        <v>621</v>
      </c>
      <c r="N57" s="2">
        <v>47</v>
      </c>
      <c r="O57" s="4">
        <v>-1.1329552574679771</v>
      </c>
      <c r="P57" s="4">
        <v>-1.2285057008688911</v>
      </c>
      <c r="Q57" s="4">
        <v>-1.2304530931117621</v>
      </c>
      <c r="R57" s="4">
        <v>-1.2255846125045839</v>
      </c>
      <c r="S57" s="2">
        <v>-1.6013333333333331</v>
      </c>
      <c r="T57" s="2">
        <v>-1.3441176958398411</v>
      </c>
      <c r="U57" s="2" t="s">
        <v>653</v>
      </c>
      <c r="V57" s="2">
        <v>125</v>
      </c>
      <c r="W57" s="4">
        <v>-0.54738933281143609</v>
      </c>
      <c r="X57" s="4">
        <v>-0.5935546982292681</v>
      </c>
      <c r="Y57" s="4">
        <v>-0.75090205545586552</v>
      </c>
      <c r="Z57" s="4">
        <v>-0.35753366238937201</v>
      </c>
      <c r="AA57" s="2">
        <v>-0.83055000000000057</v>
      </c>
      <c r="AB57" s="2">
        <v>-0.38688209265663559</v>
      </c>
    </row>
    <row r="58" spans="1:28" x14ac:dyDescent="0.2">
      <c r="A58" s="2">
        <v>91573</v>
      </c>
      <c r="C58" s="2" t="s">
        <v>204</v>
      </c>
      <c r="D58" s="2" t="s">
        <v>52</v>
      </c>
      <c r="E58" s="2" t="s">
        <v>53</v>
      </c>
      <c r="F58" s="2">
        <v>57</v>
      </c>
      <c r="G58" s="2" t="str">
        <f>IFERROR(VLOOKUP(F58,Picks!$A$2:$B$231,2,0),"")</f>
        <v>Carlos</v>
      </c>
      <c r="H58" s="2">
        <v>24</v>
      </c>
      <c r="I58" s="4">
        <v>0.63157894736842102</v>
      </c>
      <c r="J58" s="4">
        <v>5.15</v>
      </c>
      <c r="K58" s="4">
        <v>3.2526315789473679</v>
      </c>
      <c r="L58" s="4">
        <v>1.1081111785684139</v>
      </c>
      <c r="M58" s="2" t="s">
        <v>631</v>
      </c>
      <c r="N58" s="2">
        <v>5</v>
      </c>
      <c r="O58" s="4">
        <v>0.35495665566172008</v>
      </c>
      <c r="P58" s="4">
        <v>0.39906369571435979</v>
      </c>
      <c r="Q58" s="4">
        <v>0.7383745008849073</v>
      </c>
      <c r="R58" s="4">
        <v>-0.1099025120414613</v>
      </c>
      <c r="S58" s="2">
        <v>0.29300000000000098</v>
      </c>
      <c r="T58" s="2">
        <v>-6.0973585427532839E-2</v>
      </c>
      <c r="U58" s="2" t="s">
        <v>620</v>
      </c>
      <c r="V58" s="2">
        <v>46</v>
      </c>
      <c r="W58" s="4">
        <v>7.1348250773358046E-2</v>
      </c>
      <c r="X58" s="4">
        <v>8.0214009745195436E-2</v>
      </c>
      <c r="Y58" s="4">
        <v>0.22552828575457851</v>
      </c>
      <c r="Z58" s="4">
        <v>-0.13775740426887911</v>
      </c>
      <c r="AA58" s="2">
        <v>0.24944999999999951</v>
      </c>
      <c r="AB58" s="2">
        <v>-0.14906532852408241</v>
      </c>
    </row>
    <row r="59" spans="1:28" x14ac:dyDescent="0.2">
      <c r="A59" s="2">
        <v>105214</v>
      </c>
      <c r="C59" s="2" t="s">
        <v>350</v>
      </c>
      <c r="D59" s="2" t="s">
        <v>61</v>
      </c>
      <c r="E59" s="2" t="s">
        <v>29</v>
      </c>
      <c r="F59" s="2">
        <v>58</v>
      </c>
      <c r="G59" s="2" t="str">
        <f>IFERROR(VLOOKUP(F59,Picks!$A$2:$B$231,2,0),"")</f>
        <v>Fellipe</v>
      </c>
      <c r="H59" s="2">
        <v>24</v>
      </c>
      <c r="I59" s="4">
        <v>0.63157894736842102</v>
      </c>
      <c r="J59" s="4">
        <v>3.99</v>
      </c>
      <c r="K59" s="4">
        <v>2.52</v>
      </c>
      <c r="L59" s="4">
        <v>1.1154987593982619</v>
      </c>
      <c r="M59" s="2" t="s">
        <v>649</v>
      </c>
      <c r="N59" s="2">
        <v>22</v>
      </c>
      <c r="O59" s="4">
        <v>-0.71409503340403069</v>
      </c>
      <c r="P59" s="4">
        <v>-0.8028287357796795</v>
      </c>
      <c r="Q59" s="4">
        <v>-0.71279951082773951</v>
      </c>
      <c r="R59" s="4">
        <v>-0.93787257320758921</v>
      </c>
      <c r="S59" s="2">
        <v>-0.88733333333333331</v>
      </c>
      <c r="T59" s="2">
        <v>-1.0776202050878829</v>
      </c>
      <c r="U59" s="2" t="s">
        <v>619</v>
      </c>
      <c r="V59" s="2">
        <v>99</v>
      </c>
      <c r="W59" s="4">
        <v>-0.72924664789890137</v>
      </c>
      <c r="X59" s="4">
        <v>-0.81986309527095425</v>
      </c>
      <c r="Y59" s="4">
        <v>-0.82323022887886133</v>
      </c>
      <c r="Z59" s="4">
        <v>-0.8148123948590934</v>
      </c>
      <c r="AA59" s="2">
        <v>-0.91055000000000064</v>
      </c>
      <c r="AB59" s="2">
        <v>-0.88169690747145069</v>
      </c>
    </row>
    <row r="60" spans="1:28" x14ac:dyDescent="0.2">
      <c r="A60" s="2">
        <v>51413</v>
      </c>
      <c r="C60" s="2" t="s">
        <v>40</v>
      </c>
      <c r="D60" s="2" t="s">
        <v>41</v>
      </c>
      <c r="E60" s="2" t="s">
        <v>24</v>
      </c>
      <c r="F60" s="2">
        <v>59</v>
      </c>
      <c r="G60" s="2" t="str">
        <f>IFERROR(VLOOKUP(F60,Picks!$A$2:$B$231,2,0),"")</f>
        <v>Vidal</v>
      </c>
      <c r="H60" s="2">
        <v>28</v>
      </c>
      <c r="I60" s="4">
        <v>0.73684210526315785</v>
      </c>
      <c r="J60" s="4">
        <v>6.57</v>
      </c>
      <c r="K60" s="4">
        <v>4.8410526315789477</v>
      </c>
      <c r="L60" s="4">
        <v>2.741479662460959</v>
      </c>
      <c r="M60" s="2" t="s">
        <v>631</v>
      </c>
      <c r="N60" s="2">
        <v>4</v>
      </c>
      <c r="O60" s="4">
        <v>0.80280032766323006</v>
      </c>
      <c r="P60" s="4">
        <v>0.87161178432007835</v>
      </c>
      <c r="Q60" s="4">
        <v>0.81762600187633427</v>
      </c>
      <c r="R60" s="4">
        <v>0.95259045798569431</v>
      </c>
      <c r="S60" s="2">
        <v>1.029000000000001</v>
      </c>
      <c r="T60" s="2">
        <v>0.67941251778093914</v>
      </c>
      <c r="U60" s="2" t="s">
        <v>646</v>
      </c>
      <c r="V60" s="2">
        <v>20</v>
      </c>
      <c r="W60" s="4">
        <v>1.324178174244681</v>
      </c>
      <c r="X60" s="4">
        <v>1.4376791606085111</v>
      </c>
      <c r="Y60" s="4">
        <v>1.509353364012755</v>
      </c>
      <c r="Z60" s="4">
        <v>1.330167855502147</v>
      </c>
      <c r="AA60" s="2">
        <v>1.669449999999999</v>
      </c>
      <c r="AB60" s="2">
        <v>1.439355724107497</v>
      </c>
    </row>
    <row r="61" spans="1:28" x14ac:dyDescent="0.2">
      <c r="A61" s="2">
        <v>90768</v>
      </c>
      <c r="C61" s="2" t="s">
        <v>198</v>
      </c>
      <c r="D61" s="2" t="s">
        <v>35</v>
      </c>
      <c r="E61" s="2" t="s">
        <v>53</v>
      </c>
      <c r="F61" s="2">
        <v>60</v>
      </c>
      <c r="G61" s="2" t="str">
        <f>IFERROR(VLOOKUP(F61,Picks!$A$2:$B$231,2,0),"")</f>
        <v>Massa</v>
      </c>
      <c r="H61" s="2">
        <v>33</v>
      </c>
      <c r="I61" s="4">
        <v>0.86842105263157898</v>
      </c>
      <c r="J61" s="4">
        <v>4.8899999999999997</v>
      </c>
      <c r="K61" s="4">
        <v>4.2465789473684206</v>
      </c>
      <c r="L61" s="4">
        <v>1.1323836878464431</v>
      </c>
      <c r="M61" s="2" t="s">
        <v>622</v>
      </c>
      <c r="N61" s="2">
        <v>2</v>
      </c>
      <c r="O61" s="4">
        <v>0.694034568447781</v>
      </c>
      <c r="P61" s="4">
        <v>0.72255653701412814</v>
      </c>
      <c r="Q61" s="4">
        <v>8.3161633205467989E-2</v>
      </c>
      <c r="R61" s="4">
        <v>1.681648892727118</v>
      </c>
      <c r="S61" s="2">
        <v>3.3000000000000362E-2</v>
      </c>
      <c r="T61" s="2">
        <v>0.93297378299351941</v>
      </c>
      <c r="U61" s="2" t="s">
        <v>620</v>
      </c>
      <c r="V61" s="2">
        <v>39</v>
      </c>
      <c r="W61" s="4">
        <v>0.29449077689048231</v>
      </c>
      <c r="X61" s="4">
        <v>0.30659313758461171</v>
      </c>
      <c r="Y61" s="4">
        <v>-9.5382778701586339E-3</v>
      </c>
      <c r="Z61" s="4">
        <v>0.78079026076676705</v>
      </c>
      <c r="AA61" s="2">
        <v>-1.055000000000117E-2</v>
      </c>
      <c r="AB61" s="2">
        <v>0.84488203989696986</v>
      </c>
    </row>
    <row r="62" spans="1:28" x14ac:dyDescent="0.2">
      <c r="A62" s="2">
        <v>97810</v>
      </c>
      <c r="C62" s="2" t="s">
        <v>260</v>
      </c>
      <c r="D62" s="2" t="s">
        <v>33</v>
      </c>
      <c r="E62" s="2" t="s">
        <v>27</v>
      </c>
      <c r="F62" s="2">
        <v>61</v>
      </c>
      <c r="G62" s="2" t="str">
        <f>IFERROR(VLOOKUP(F62,Picks!$A$2:$B$231,2,0),"")</f>
        <v>Massa</v>
      </c>
      <c r="H62" s="2">
        <v>29</v>
      </c>
      <c r="I62" s="4">
        <v>0.76315789473684215</v>
      </c>
      <c r="J62" s="4">
        <v>5.0199999999999996</v>
      </c>
      <c r="K62" s="4">
        <v>3.831052631578947</v>
      </c>
      <c r="L62" s="4">
        <v>0.93753471249154297</v>
      </c>
      <c r="M62" s="2" t="s">
        <v>620</v>
      </c>
      <c r="N62" s="2">
        <v>14</v>
      </c>
      <c r="O62" s="4">
        <v>-0.45780302512961529</v>
      </c>
      <c r="P62" s="4">
        <v>-0.49281912053612992</v>
      </c>
      <c r="Q62" s="4">
        <v>-0.50047988008750721</v>
      </c>
      <c r="R62" s="4">
        <v>-0.48132798120906389</v>
      </c>
      <c r="S62" s="2">
        <v>-0.65133333333333354</v>
      </c>
      <c r="T62" s="2">
        <v>-0.52787987907570866</v>
      </c>
      <c r="U62" s="2" t="s">
        <v>620</v>
      </c>
      <c r="V62" s="2">
        <v>44</v>
      </c>
      <c r="W62" s="4">
        <v>0.2076300663491665</v>
      </c>
      <c r="X62" s="4">
        <v>0.2235111195826722</v>
      </c>
      <c r="Y62" s="4">
        <v>0.1079950039422095</v>
      </c>
      <c r="Z62" s="4">
        <v>0.39678529304336618</v>
      </c>
      <c r="AA62" s="2">
        <v>0.1194499999999987</v>
      </c>
      <c r="AB62" s="2">
        <v>0.42935572410749628</v>
      </c>
    </row>
    <row r="63" spans="1:28" x14ac:dyDescent="0.2">
      <c r="A63" s="2">
        <v>97321</v>
      </c>
      <c r="C63" s="2" t="s">
        <v>250</v>
      </c>
      <c r="D63" s="2" t="s">
        <v>41</v>
      </c>
      <c r="E63" s="2" t="s">
        <v>27</v>
      </c>
      <c r="F63" s="2">
        <v>62</v>
      </c>
      <c r="G63" s="2" t="str">
        <f>IFERROR(VLOOKUP(F63,Picks!$A$2:$B$231,2,0),"")</f>
        <v>Vidal</v>
      </c>
      <c r="H63" s="2">
        <v>23</v>
      </c>
      <c r="I63" s="4">
        <v>0.85185185185185186</v>
      </c>
      <c r="J63" s="4">
        <v>4.26</v>
      </c>
      <c r="K63" s="4">
        <v>3.6288888888888891</v>
      </c>
      <c r="L63" s="4">
        <v>1.3318879986791841</v>
      </c>
      <c r="M63" s="2" t="s">
        <v>619</v>
      </c>
      <c r="N63" s="2">
        <v>30</v>
      </c>
      <c r="O63" s="4">
        <v>-0.87618760017305519</v>
      </c>
      <c r="P63" s="4">
        <v>-0.91694051180901126</v>
      </c>
      <c r="Q63" s="4">
        <v>-1.084458450506911</v>
      </c>
      <c r="R63" s="4">
        <v>-0.66566360376216116</v>
      </c>
      <c r="S63" s="2">
        <v>-1.4113333333333331</v>
      </c>
      <c r="T63" s="2">
        <v>-0.73004362176576709</v>
      </c>
      <c r="U63" s="2" t="s">
        <v>649</v>
      </c>
      <c r="V63" s="2">
        <v>76</v>
      </c>
      <c r="W63" s="4">
        <v>-0.25177990902528968</v>
      </c>
      <c r="X63" s="4">
        <v>-0.26349060246832651</v>
      </c>
      <c r="Y63" s="4">
        <v>-0.57912264357625076</v>
      </c>
      <c r="Z63" s="4">
        <v>0.2099574591935601</v>
      </c>
      <c r="AA63" s="2">
        <v>-0.64055000000000106</v>
      </c>
      <c r="AB63" s="2">
        <v>0.2271919814174379</v>
      </c>
    </row>
    <row r="64" spans="1:28" x14ac:dyDescent="0.2">
      <c r="A64" s="2">
        <v>87008</v>
      </c>
      <c r="C64" s="2" t="s">
        <v>163</v>
      </c>
      <c r="D64" s="2" t="s">
        <v>67</v>
      </c>
      <c r="E64" s="2" t="s">
        <v>24</v>
      </c>
      <c r="F64" s="2">
        <v>63</v>
      </c>
      <c r="G64" s="2" t="str">
        <f>IFERROR(VLOOKUP(F64,Picks!$A$2:$B$231,2,0),"")</f>
        <v>Fellipe</v>
      </c>
      <c r="H64" s="2">
        <v>33</v>
      </c>
      <c r="I64" s="4">
        <v>0.86842105263157898</v>
      </c>
      <c r="J64" s="4">
        <v>3.8</v>
      </c>
      <c r="K64" s="4">
        <v>3.3</v>
      </c>
      <c r="L64" s="4">
        <v>1.201793586109148</v>
      </c>
      <c r="M64" s="2" t="s">
        <v>621</v>
      </c>
      <c r="N64" s="2">
        <v>14</v>
      </c>
      <c r="O64" s="4">
        <v>-1.2614176410215641</v>
      </c>
      <c r="P64" s="4">
        <v>-1.3132567221594369</v>
      </c>
      <c r="Q64" s="4">
        <v>-1.383369163524486</v>
      </c>
      <c r="R64" s="4">
        <v>-1.208088060111862</v>
      </c>
      <c r="S64" s="2">
        <v>-1.7410000000000001</v>
      </c>
      <c r="T64" s="2">
        <v>-0.86164011379800876</v>
      </c>
      <c r="U64" s="2" t="s">
        <v>655</v>
      </c>
      <c r="V64" s="2">
        <v>192</v>
      </c>
      <c r="W64" s="4">
        <v>-0.60954875448797174</v>
      </c>
      <c r="X64" s="4">
        <v>-0.63459870330254597</v>
      </c>
      <c r="Y64" s="4">
        <v>-0.99500964075847687</v>
      </c>
      <c r="Z64" s="4">
        <v>-9.3982297118649749E-2</v>
      </c>
      <c r="AA64" s="2">
        <v>-1.100550000000001</v>
      </c>
      <c r="AB64" s="2">
        <v>-0.1016969074714509</v>
      </c>
    </row>
    <row r="65" spans="1:28" x14ac:dyDescent="0.2">
      <c r="A65" s="2">
        <v>68899</v>
      </c>
      <c r="C65" s="2" t="s">
        <v>66</v>
      </c>
      <c r="D65" s="2" t="s">
        <v>67</v>
      </c>
      <c r="E65" s="2" t="s">
        <v>29</v>
      </c>
      <c r="F65" s="2">
        <v>64</v>
      </c>
      <c r="G65" s="2" t="str">
        <f>IFERROR(VLOOKUP(F65,Picks!$A$2:$B$231,2,0),"")</f>
        <v>Carlos</v>
      </c>
      <c r="H65" s="2">
        <v>28</v>
      </c>
      <c r="I65" s="4">
        <v>0.73684210526315785</v>
      </c>
      <c r="J65" s="4">
        <v>4.29</v>
      </c>
      <c r="K65" s="4">
        <v>3.1610526315789471</v>
      </c>
      <c r="L65" s="4">
        <v>1.056185735206939</v>
      </c>
      <c r="M65" s="2" t="s">
        <v>647</v>
      </c>
      <c r="N65" s="2">
        <v>14</v>
      </c>
      <c r="O65" s="4">
        <v>-0.40071855698467862</v>
      </c>
      <c r="P65" s="4">
        <v>-0.43506586186907958</v>
      </c>
      <c r="Q65" s="4">
        <v>-0.47180794067561138</v>
      </c>
      <c r="R65" s="4">
        <v>-0.37995274365928178</v>
      </c>
      <c r="S65" s="2">
        <v>-0.58733333333333348</v>
      </c>
      <c r="T65" s="2">
        <v>-0.43656757350893599</v>
      </c>
      <c r="U65" s="2" t="s">
        <v>649</v>
      </c>
      <c r="V65" s="2">
        <v>84</v>
      </c>
      <c r="W65" s="4">
        <v>-0.38698529059716719</v>
      </c>
      <c r="X65" s="4">
        <v>-0.42015545836263868</v>
      </c>
      <c r="Y65" s="4">
        <v>-0.55199957854262716</v>
      </c>
      <c r="Z65" s="4">
        <v>-0.22238927809265599</v>
      </c>
      <c r="AA65" s="2">
        <v>-0.61055000000000081</v>
      </c>
      <c r="AB65" s="2">
        <v>-0.24064427589250359</v>
      </c>
    </row>
    <row r="66" spans="1:28" x14ac:dyDescent="0.2">
      <c r="A66" s="2">
        <v>105647</v>
      </c>
      <c r="C66" s="2" t="s">
        <v>357</v>
      </c>
      <c r="D66" s="2" t="s">
        <v>65</v>
      </c>
      <c r="E66" s="2" t="s">
        <v>29</v>
      </c>
      <c r="F66" s="2">
        <v>65</v>
      </c>
      <c r="G66" s="2" t="str">
        <f>IFERROR(VLOOKUP(F66,Picks!$A$2:$B$231,2,0),"")</f>
        <v>Fernando</v>
      </c>
      <c r="H66" s="2">
        <v>25</v>
      </c>
      <c r="I66" s="4">
        <v>0.65789473684210531</v>
      </c>
      <c r="J66" s="4">
        <v>3.99</v>
      </c>
      <c r="K66" s="4">
        <v>2.625</v>
      </c>
      <c r="L66" s="4">
        <v>1.5364816360514</v>
      </c>
      <c r="M66" s="2" t="s">
        <v>619</v>
      </c>
      <c r="N66" s="2">
        <v>26</v>
      </c>
      <c r="O66" s="4">
        <v>-0.68763131674781308</v>
      </c>
      <c r="P66" s="4">
        <v>-0.76627536763685911</v>
      </c>
      <c r="Q66" s="4">
        <v>-0.71279951082773951</v>
      </c>
      <c r="R66" s="4">
        <v>-0.84648915285053838</v>
      </c>
      <c r="S66" s="2">
        <v>-0.88733333333333331</v>
      </c>
      <c r="T66" s="2">
        <v>-0.97262020508788272</v>
      </c>
      <c r="U66" s="2" t="s">
        <v>648</v>
      </c>
      <c r="V66" s="2">
        <v>108</v>
      </c>
      <c r="W66" s="4">
        <v>-0.70088885769342013</v>
      </c>
      <c r="X66" s="4">
        <v>-0.78104916693108395</v>
      </c>
      <c r="Y66" s="4">
        <v>-0.82323022887886133</v>
      </c>
      <c r="Z66" s="4">
        <v>-0.71777757400941788</v>
      </c>
      <c r="AA66" s="2">
        <v>-0.91055000000000064</v>
      </c>
      <c r="AB66" s="2">
        <v>-0.77669690747145026</v>
      </c>
    </row>
    <row r="67" spans="1:28" x14ac:dyDescent="0.2">
      <c r="A67" s="2">
        <v>87999</v>
      </c>
      <c r="C67" s="2" t="s">
        <v>172</v>
      </c>
      <c r="D67" s="2" t="s">
        <v>26</v>
      </c>
      <c r="E67" s="2" t="s">
        <v>29</v>
      </c>
      <c r="F67" s="2">
        <v>66</v>
      </c>
      <c r="G67" s="2" t="str">
        <f>IFERROR(VLOOKUP(F67,Picks!$A$2:$B$231,2,0),"")</f>
        <v>Rodolfo</v>
      </c>
      <c r="H67" s="2">
        <v>30</v>
      </c>
      <c r="I67" s="4">
        <v>0.78947368421052633</v>
      </c>
      <c r="J67" s="4">
        <v>3.31</v>
      </c>
      <c r="K67" s="4">
        <v>2.6131578947368421</v>
      </c>
      <c r="L67" s="4">
        <v>0.73660117733570518</v>
      </c>
      <c r="M67" s="2" t="s">
        <v>619</v>
      </c>
      <c r="N67" s="2">
        <v>33</v>
      </c>
      <c r="O67" s="4">
        <v>-1.028789844622048</v>
      </c>
      <c r="P67" s="4">
        <v>-1.0981464633606131</v>
      </c>
      <c r="Q67" s="4">
        <v>-1.2590470698392311</v>
      </c>
      <c r="R67" s="4">
        <v>-0.85679555364268734</v>
      </c>
      <c r="S67" s="2">
        <v>-1.567333333333333</v>
      </c>
      <c r="T67" s="2">
        <v>-0.98446231035104104</v>
      </c>
      <c r="U67" s="2" t="s">
        <v>653</v>
      </c>
      <c r="V67" s="2">
        <v>140</v>
      </c>
      <c r="W67" s="4">
        <v>-1.081397181338962</v>
      </c>
      <c r="X67" s="4">
        <v>-1.154300362103386</v>
      </c>
      <c r="Y67" s="4">
        <v>-1.438019702974326</v>
      </c>
      <c r="Z67" s="4">
        <v>-0.72872135079697564</v>
      </c>
      <c r="AA67" s="2">
        <v>-1.590550000000001</v>
      </c>
      <c r="AB67" s="2">
        <v>-0.78853901273460858</v>
      </c>
    </row>
    <row r="68" spans="1:28" x14ac:dyDescent="0.2">
      <c r="A68" s="2">
        <v>72294</v>
      </c>
      <c r="C68" s="2" t="s">
        <v>89</v>
      </c>
      <c r="D68" s="2" t="s">
        <v>26</v>
      </c>
      <c r="E68" s="2" t="s">
        <v>24</v>
      </c>
      <c r="F68" s="2">
        <v>67</v>
      </c>
      <c r="G68" s="2" t="str">
        <f>IFERROR(VLOOKUP(F68,Picks!$A$2:$B$231,2,0),"")</f>
        <v>Petindá</v>
      </c>
      <c r="H68" s="2">
        <v>30</v>
      </c>
      <c r="I68" s="4">
        <v>0.78947368421052633</v>
      </c>
      <c r="J68" s="4">
        <v>4.76</v>
      </c>
      <c r="K68" s="4">
        <v>3.757894736842105</v>
      </c>
      <c r="L68" s="4">
        <v>0.92298949165576649</v>
      </c>
      <c r="M68" s="2" t="s">
        <v>649</v>
      </c>
      <c r="N68" s="2">
        <v>8</v>
      </c>
      <c r="O68" s="4">
        <v>-0.56095754354485705</v>
      </c>
      <c r="P68" s="4">
        <v>-0.59877490603102723</v>
      </c>
      <c r="Q68" s="4">
        <v>-0.62056939501012276</v>
      </c>
      <c r="R68" s="4">
        <v>-0.56608317256238383</v>
      </c>
      <c r="S68" s="2">
        <v>-0.78099999999999969</v>
      </c>
      <c r="T68" s="2">
        <v>-0.40374537695590362</v>
      </c>
      <c r="U68" s="2" t="s">
        <v>619</v>
      </c>
      <c r="V68" s="2">
        <v>87</v>
      </c>
      <c r="W68" s="4">
        <v>5.1927183959593767E-2</v>
      </c>
      <c r="X68" s="4">
        <v>5.5427892990577612E-2</v>
      </c>
      <c r="Y68" s="4">
        <v>-0.12707155968252681</v>
      </c>
      <c r="Z68" s="4">
        <v>0.32917707200023422</v>
      </c>
      <c r="AA68" s="2">
        <v>-0.14055000000000109</v>
      </c>
      <c r="AB68" s="2">
        <v>0.35619782937065431</v>
      </c>
    </row>
    <row r="69" spans="1:28" x14ac:dyDescent="0.2">
      <c r="A69" s="2">
        <v>84816</v>
      </c>
      <c r="C69" s="2" t="s">
        <v>148</v>
      </c>
      <c r="D69" s="2" t="s">
        <v>47</v>
      </c>
      <c r="E69" s="2" t="s">
        <v>37</v>
      </c>
      <c r="F69" s="2">
        <v>68</v>
      </c>
      <c r="G69" s="2" t="str">
        <f>IFERROR(VLOOKUP(F69,Picks!$A$2:$B$231,2,0),"")</f>
        <v>Fochesato</v>
      </c>
      <c r="H69" s="2">
        <v>20</v>
      </c>
      <c r="I69" s="4">
        <v>0.52631578947368418</v>
      </c>
      <c r="J69" s="4">
        <v>5.12</v>
      </c>
      <c r="K69" s="4">
        <v>2.6947368421052631</v>
      </c>
      <c r="L69" s="4">
        <v>1.8325919467364371</v>
      </c>
      <c r="M69" s="2" t="s">
        <v>653</v>
      </c>
      <c r="N69" s="2">
        <v>26</v>
      </c>
      <c r="O69" s="4">
        <v>-1.469590569162968</v>
      </c>
      <c r="P69" s="4">
        <v>-1.7130196818464041</v>
      </c>
      <c r="Q69" s="4">
        <v>-1.368701863341939</v>
      </c>
      <c r="R69" s="4">
        <v>-2.2294964096031018</v>
      </c>
      <c r="S69" s="2">
        <v>-1.2175</v>
      </c>
      <c r="T69" s="2">
        <v>-2.030856275303643</v>
      </c>
      <c r="U69" s="2" t="s">
        <v>648</v>
      </c>
      <c r="V69" s="2">
        <v>113</v>
      </c>
      <c r="W69" s="4">
        <v>-0.1220691754871691</v>
      </c>
      <c r="X69" s="4">
        <v>-0.14228922296050381</v>
      </c>
      <c r="Y69" s="4">
        <v>0.19840522072095479</v>
      </c>
      <c r="Z69" s="4">
        <v>-0.65333088848269172</v>
      </c>
      <c r="AA69" s="2">
        <v>0.21944999999999931</v>
      </c>
      <c r="AB69" s="2">
        <v>-0.70696006536618761</v>
      </c>
    </row>
    <row r="70" spans="1:28" x14ac:dyDescent="0.2">
      <c r="A70" s="2">
        <v>104085</v>
      </c>
      <c r="C70" s="2" t="s">
        <v>333</v>
      </c>
      <c r="D70" s="2" t="s">
        <v>65</v>
      </c>
      <c r="E70" s="2" t="s">
        <v>53</v>
      </c>
      <c r="F70" s="2">
        <v>69</v>
      </c>
      <c r="G70" s="2" t="str">
        <f>IFERROR(VLOOKUP(F70,Picks!$A$2:$B$231,2,0),"")</f>
        <v>Anuda</v>
      </c>
      <c r="H70" s="2">
        <v>23</v>
      </c>
      <c r="I70" s="4">
        <v>0.60526315789473684</v>
      </c>
      <c r="J70" s="4">
        <v>5.13</v>
      </c>
      <c r="K70" s="4">
        <v>3.105</v>
      </c>
      <c r="L70" s="4">
        <v>0.89212011929707247</v>
      </c>
      <c r="M70" s="2" t="s">
        <v>631</v>
      </c>
      <c r="N70" s="2">
        <v>6</v>
      </c>
      <c r="O70" s="4">
        <v>0.23131135913849299</v>
      </c>
      <c r="P70" s="4">
        <v>0.26238303424664883</v>
      </c>
      <c r="Q70" s="4">
        <v>0.68797351106341087</v>
      </c>
      <c r="R70" s="4">
        <v>-0.3760026809784941</v>
      </c>
      <c r="S70" s="2">
        <v>0.27300000000000058</v>
      </c>
      <c r="T70" s="2">
        <v>-0.2086051643749012</v>
      </c>
      <c r="U70" s="2" t="s">
        <v>620</v>
      </c>
      <c r="V70" s="2">
        <v>47</v>
      </c>
      <c r="W70" s="4">
        <v>1.304015429989667E-2</v>
      </c>
      <c r="X70" s="4">
        <v>1.479181681779324E-2</v>
      </c>
      <c r="Y70" s="4">
        <v>0.20744624239882911</v>
      </c>
      <c r="Z70" s="4">
        <v>-0.27418982155376048</v>
      </c>
      <c r="AA70" s="2">
        <v>0.22944999999999899</v>
      </c>
      <c r="AB70" s="2">
        <v>-0.29669690747145072</v>
      </c>
    </row>
    <row r="71" spans="1:28" x14ac:dyDescent="0.2">
      <c r="A71" s="2">
        <v>82627</v>
      </c>
      <c r="C71" s="2" t="s">
        <v>130</v>
      </c>
      <c r="D71" s="2" t="s">
        <v>47</v>
      </c>
      <c r="E71" s="2" t="s">
        <v>27</v>
      </c>
      <c r="F71" s="2">
        <v>70</v>
      </c>
      <c r="G71" s="2" t="str">
        <f>IFERROR(VLOOKUP(F71,Picks!$A$2:$B$231,2,0),"")</f>
        <v>Sousa</v>
      </c>
      <c r="H71" s="2">
        <v>33</v>
      </c>
      <c r="I71" s="4">
        <v>0.86842105263157898</v>
      </c>
      <c r="J71" s="4">
        <v>4.22</v>
      </c>
      <c r="K71" s="4">
        <v>3.6647368421052628</v>
      </c>
      <c r="L71" s="4">
        <v>1.1095226313224911</v>
      </c>
      <c r="M71" s="2" t="s">
        <v>648</v>
      </c>
      <c r="N71" s="2">
        <v>37</v>
      </c>
      <c r="O71" s="4">
        <v>-0.88590041539992981</v>
      </c>
      <c r="P71" s="4">
        <v>-0.92230728178622834</v>
      </c>
      <c r="Q71" s="4">
        <v>-1.1151941647395121</v>
      </c>
      <c r="R71" s="4">
        <v>-0.63297695735630344</v>
      </c>
      <c r="S71" s="2">
        <v>-1.4513333333333329</v>
      </c>
      <c r="T71" s="2">
        <v>-0.69419566854939241</v>
      </c>
      <c r="U71" s="2" t="s">
        <v>619</v>
      </c>
      <c r="V71" s="2">
        <v>91</v>
      </c>
      <c r="W71" s="4">
        <v>-0.2612032469843471</v>
      </c>
      <c r="X71" s="4">
        <v>-0.27193762699740248</v>
      </c>
      <c r="Y71" s="4">
        <v>-0.61528673028774872</v>
      </c>
      <c r="Z71" s="4">
        <v>0.24308602793811679</v>
      </c>
      <c r="AA71" s="2">
        <v>-0.6805500000000011</v>
      </c>
      <c r="AB71" s="2">
        <v>0.26303993463381259</v>
      </c>
    </row>
    <row r="72" spans="1:28" x14ac:dyDescent="0.2">
      <c r="A72" s="2">
        <v>89274</v>
      </c>
      <c r="C72" s="2" t="s">
        <v>180</v>
      </c>
      <c r="D72" s="2" t="s">
        <v>65</v>
      </c>
      <c r="E72" s="2" t="s">
        <v>29</v>
      </c>
      <c r="F72" s="2">
        <v>71</v>
      </c>
      <c r="G72" s="2" t="str">
        <f>IFERROR(VLOOKUP(F72,Picks!$A$2:$B$231,2,0),"")</f>
        <v>Sousa</v>
      </c>
      <c r="H72" s="2">
        <v>11</v>
      </c>
      <c r="I72" s="4">
        <v>0.6470588235294118</v>
      </c>
      <c r="J72" s="4">
        <v>2.95</v>
      </c>
      <c r="K72" s="4">
        <v>1.908823529411765</v>
      </c>
      <c r="L72" s="4">
        <v>1.9541714431983099</v>
      </c>
      <c r="M72" s="2" t="s">
        <v>653</v>
      </c>
      <c r="N72" s="2">
        <v>53</v>
      </c>
      <c r="O72" s="4">
        <v>-1.3562498865868531</v>
      </c>
      <c r="P72" s="4">
        <v>-1.5168584257879281</v>
      </c>
      <c r="Q72" s="4">
        <v>-1.548236954021784</v>
      </c>
      <c r="R72" s="4">
        <v>-1.4697906334371429</v>
      </c>
      <c r="S72" s="2">
        <v>-1.9273333333333329</v>
      </c>
      <c r="T72" s="2">
        <v>-1.6887966756761179</v>
      </c>
      <c r="U72" s="2" t="s">
        <v>621</v>
      </c>
      <c r="V72" s="2">
        <v>185</v>
      </c>
      <c r="W72" s="4">
        <v>-1.4394830774753591</v>
      </c>
      <c r="X72" s="4">
        <v>-1.609948178755336</v>
      </c>
      <c r="Y72" s="4">
        <v>-1.7634964833778071</v>
      </c>
      <c r="Z72" s="4">
        <v>-1.3796257218216279</v>
      </c>
      <c r="AA72" s="2">
        <v>-1.9505500000000009</v>
      </c>
      <c r="AB72" s="2">
        <v>-1.4928733780596859</v>
      </c>
    </row>
    <row r="73" spans="1:28" x14ac:dyDescent="0.2">
      <c r="A73" s="2">
        <v>101574</v>
      </c>
      <c r="C73" s="2" t="s">
        <v>302</v>
      </c>
      <c r="D73" s="2" t="s">
        <v>99</v>
      </c>
      <c r="E73" s="2" t="s">
        <v>24</v>
      </c>
      <c r="F73" s="2">
        <v>72</v>
      </c>
      <c r="G73" s="2" t="str">
        <f>IFERROR(VLOOKUP(F73,Picks!$A$2:$B$231,2,0),"")</f>
        <v>Anuda</v>
      </c>
      <c r="H73" s="2">
        <v>26</v>
      </c>
      <c r="I73" s="4">
        <v>0.68421052631578949</v>
      </c>
      <c r="J73" s="4">
        <v>3.41</v>
      </c>
      <c r="K73" s="4">
        <v>2.3331578947368419</v>
      </c>
      <c r="L73" s="4">
        <v>1.6212176903275539</v>
      </c>
      <c r="M73" s="2" t="s">
        <v>655</v>
      </c>
      <c r="N73" s="2">
        <v>18</v>
      </c>
      <c r="O73" s="4">
        <v>-1.8480268582966171</v>
      </c>
      <c r="P73" s="4">
        <v>-2.041425017885798</v>
      </c>
      <c r="Q73" s="4">
        <v>-1.6932565694834461</v>
      </c>
      <c r="R73" s="4">
        <v>-2.5636776904893241</v>
      </c>
      <c r="S73" s="2">
        <v>-2.1309999999999989</v>
      </c>
      <c r="T73" s="2">
        <v>-1.828482219061166</v>
      </c>
      <c r="U73" s="2" t="s">
        <v>657</v>
      </c>
      <c r="V73" s="2">
        <v>228</v>
      </c>
      <c r="W73" s="4">
        <v>-1.0895367528531741</v>
      </c>
      <c r="X73" s="4">
        <v>-1.2035580409424591</v>
      </c>
      <c r="Y73" s="4">
        <v>-1.347609486195581</v>
      </c>
      <c r="Z73" s="4">
        <v>-0.98748087306277577</v>
      </c>
      <c r="AA73" s="2">
        <v>-1.4905500000000009</v>
      </c>
      <c r="AB73" s="2">
        <v>-1.0685390127346079</v>
      </c>
    </row>
    <row r="74" spans="1:28" x14ac:dyDescent="0.2">
      <c r="A74" s="2">
        <v>71684</v>
      </c>
      <c r="C74" s="2" t="s">
        <v>85</v>
      </c>
      <c r="D74" s="2" t="s">
        <v>65</v>
      </c>
      <c r="E74" s="2" t="s">
        <v>53</v>
      </c>
      <c r="F74" s="2">
        <v>73</v>
      </c>
      <c r="G74" s="2" t="str">
        <f>IFERROR(VLOOKUP(F74,Picks!$A$2:$B$231,2,0),"")</f>
        <v>Fochesato</v>
      </c>
      <c r="H74" s="2">
        <v>25</v>
      </c>
      <c r="I74" s="4">
        <v>0.65789473684210531</v>
      </c>
      <c r="J74" s="4">
        <v>4.93</v>
      </c>
      <c r="K74" s="4">
        <v>3.2434210526315792</v>
      </c>
      <c r="L74" s="4">
        <v>1.139140700823702</v>
      </c>
      <c r="M74" s="2" t="s">
        <v>620</v>
      </c>
      <c r="N74" s="2">
        <v>9</v>
      </c>
      <c r="O74" s="4">
        <v>5.3641558645234032E-2</v>
      </c>
      <c r="P74" s="4">
        <v>5.9776516965363437E-2</v>
      </c>
      <c r="Q74" s="4">
        <v>0.1839636128484585</v>
      </c>
      <c r="R74" s="4">
        <v>-0.12650412685927909</v>
      </c>
      <c r="S74" s="2">
        <v>7.3000000000000398E-2</v>
      </c>
      <c r="T74" s="2">
        <v>-7.0184111743321953E-2</v>
      </c>
      <c r="U74" s="2" t="s">
        <v>647</v>
      </c>
      <c r="V74" s="2">
        <v>59</v>
      </c>
      <c r="W74" s="4">
        <v>-3.8167059402571077E-2</v>
      </c>
      <c r="X74" s="4">
        <v>-4.2532206958876863E-2</v>
      </c>
      <c r="Y74" s="4">
        <v>2.6625808841339318E-2</v>
      </c>
      <c r="Z74" s="4">
        <v>-0.14626923065920111</v>
      </c>
      <c r="AA74" s="2">
        <v>2.9449999999998869E-2</v>
      </c>
      <c r="AB74" s="2">
        <v>-0.1582758548398715</v>
      </c>
    </row>
    <row r="75" spans="1:28" x14ac:dyDescent="0.2">
      <c r="A75" s="2">
        <v>87228</v>
      </c>
      <c r="C75" s="2" t="s">
        <v>165</v>
      </c>
      <c r="D75" s="2" t="s">
        <v>23</v>
      </c>
      <c r="E75" s="2" t="s">
        <v>37</v>
      </c>
      <c r="F75" s="2">
        <v>74</v>
      </c>
      <c r="G75" s="2" t="str">
        <f>IFERROR(VLOOKUP(F75,Picks!$A$2:$B$231,2,0),"")</f>
        <v>Petindá</v>
      </c>
      <c r="H75" s="2">
        <v>19</v>
      </c>
      <c r="I75" s="4">
        <v>0.5</v>
      </c>
      <c r="J75" s="4">
        <v>3.86</v>
      </c>
      <c r="K75" s="4">
        <v>1.93</v>
      </c>
      <c r="L75" s="4">
        <v>0.88119132473167305</v>
      </c>
      <c r="M75" s="2" t="s">
        <v>653</v>
      </c>
      <c r="N75" s="2">
        <v>28</v>
      </c>
      <c r="O75" s="4">
        <v>-2.4639139301625992</v>
      </c>
      <c r="P75" s="4">
        <v>-2.8987222707795279</v>
      </c>
      <c r="Q75" s="4">
        <v>-2.7851818204761019</v>
      </c>
      <c r="R75" s="4">
        <v>-3.0690329462346662</v>
      </c>
      <c r="S75" s="2">
        <v>-2.4775</v>
      </c>
      <c r="T75" s="2">
        <v>-2.7955931174089068</v>
      </c>
      <c r="U75" s="2" t="s">
        <v>653</v>
      </c>
      <c r="V75" s="2">
        <v>135</v>
      </c>
      <c r="W75" s="4">
        <v>-0.94220831958504603</v>
      </c>
      <c r="X75" s="4">
        <v>-1.1084803759824069</v>
      </c>
      <c r="Y75" s="4">
        <v>-0.94076351069122988</v>
      </c>
      <c r="Z75" s="4">
        <v>-1.3600556739191729</v>
      </c>
      <c r="AA75" s="2">
        <v>-1.040550000000001</v>
      </c>
      <c r="AB75" s="2">
        <v>-1.471696907471451</v>
      </c>
    </row>
    <row r="76" spans="1:28" x14ac:dyDescent="0.2">
      <c r="A76" s="2">
        <v>106593</v>
      </c>
      <c r="C76" s="2" t="s">
        <v>371</v>
      </c>
      <c r="D76" s="2" t="s">
        <v>35</v>
      </c>
      <c r="E76" s="2" t="s">
        <v>53</v>
      </c>
      <c r="F76" s="2">
        <v>75</v>
      </c>
      <c r="G76" s="2" t="str">
        <f>IFERROR(VLOOKUP(F76,Picks!$A$2:$B$231,2,0),"")</f>
        <v>Rodolfo</v>
      </c>
      <c r="H76" s="2">
        <v>32</v>
      </c>
      <c r="I76" s="4">
        <v>0.84210526315789469</v>
      </c>
      <c r="J76" s="4">
        <v>5.21</v>
      </c>
      <c r="K76" s="4">
        <v>4.3873684210526314</v>
      </c>
      <c r="L76" s="4">
        <v>1.5181893132597659</v>
      </c>
      <c r="M76" s="2" t="s">
        <v>622</v>
      </c>
      <c r="N76" s="2">
        <v>3</v>
      </c>
      <c r="O76" s="4">
        <v>1.2459592792965319</v>
      </c>
      <c r="P76" s="4">
        <v>1.3079130556151439</v>
      </c>
      <c r="Q76" s="4">
        <v>0.88957747034939183</v>
      </c>
      <c r="R76" s="4">
        <v>1.935416433513772</v>
      </c>
      <c r="S76" s="2">
        <v>0.35300000000000059</v>
      </c>
      <c r="T76" s="2">
        <v>1.07376325667773</v>
      </c>
      <c r="U76" s="2" t="s">
        <v>647</v>
      </c>
      <c r="V76" s="2">
        <v>49</v>
      </c>
      <c r="W76" s="4">
        <v>0.50701385845481084</v>
      </c>
      <c r="X76" s="4">
        <v>0.53222449230063018</v>
      </c>
      <c r="Y76" s="4">
        <v>0.279774415821825</v>
      </c>
      <c r="Z76" s="4">
        <v>0.91089960701883799</v>
      </c>
      <c r="AA76" s="2">
        <v>0.30944999999999911</v>
      </c>
      <c r="AB76" s="2">
        <v>0.98567151358118066</v>
      </c>
    </row>
    <row r="77" spans="1:28" x14ac:dyDescent="0.2">
      <c r="A77" s="2">
        <v>92696</v>
      </c>
      <c r="C77" s="2" t="s">
        <v>217</v>
      </c>
      <c r="D77" s="2" t="s">
        <v>33</v>
      </c>
      <c r="E77" s="2" t="s">
        <v>27</v>
      </c>
      <c r="F77" s="2">
        <v>76</v>
      </c>
      <c r="G77" s="2" t="str">
        <f>IFERROR(VLOOKUP(F77,Picks!$A$2:$B$231,2,0),"")</f>
        <v>Fernando</v>
      </c>
      <c r="H77" s="2">
        <v>28</v>
      </c>
      <c r="I77" s="4">
        <v>0.73684210526315785</v>
      </c>
      <c r="J77" s="4">
        <v>4.32</v>
      </c>
      <c r="K77" s="4">
        <v>3.183157894736842</v>
      </c>
      <c r="L77" s="4">
        <v>3.5175312207636389</v>
      </c>
      <c r="M77" s="2" t="s">
        <v>619</v>
      </c>
      <c r="N77" s="2">
        <v>32</v>
      </c>
      <c r="O77" s="4">
        <v>-0.96880716371443976</v>
      </c>
      <c r="P77" s="4">
        <v>-1.051847777747106</v>
      </c>
      <c r="Q77" s="4">
        <v>-1.0383548791580111</v>
      </c>
      <c r="R77" s="4">
        <v>-1.0720871256307489</v>
      </c>
      <c r="S77" s="2">
        <v>-1.3513333333333331</v>
      </c>
      <c r="T77" s="2">
        <v>-1.175774615917814</v>
      </c>
      <c r="U77" s="2" t="s">
        <v>649</v>
      </c>
      <c r="V77" s="2">
        <v>79</v>
      </c>
      <c r="W77" s="4">
        <v>-0.36446998184924789</v>
      </c>
      <c r="X77" s="4">
        <v>-0.39571026600775489</v>
      </c>
      <c r="Y77" s="4">
        <v>-0.52487651350900344</v>
      </c>
      <c r="Z77" s="4">
        <v>-0.20196089475588219</v>
      </c>
      <c r="AA77" s="2">
        <v>-0.58055000000000057</v>
      </c>
      <c r="AB77" s="2">
        <v>-0.21853901273460871</v>
      </c>
    </row>
    <row r="78" spans="1:28" x14ac:dyDescent="0.2">
      <c r="A78" s="2">
        <v>70592</v>
      </c>
      <c r="C78" s="2" t="s">
        <v>78</v>
      </c>
      <c r="D78" s="2" t="s">
        <v>65</v>
      </c>
      <c r="E78" s="2" t="s">
        <v>29</v>
      </c>
      <c r="F78" s="2">
        <v>77</v>
      </c>
      <c r="G78" s="2" t="str">
        <f>IFERROR(VLOOKUP(F78,Picks!$A$2:$B$231,2,0),"")</f>
        <v>Carlos</v>
      </c>
      <c r="H78" s="2">
        <v>27</v>
      </c>
      <c r="I78" s="4">
        <v>0.71052631578947367</v>
      </c>
      <c r="J78" s="4">
        <v>4.92</v>
      </c>
      <c r="K78" s="4">
        <v>3.4957894736842099</v>
      </c>
      <c r="L78" s="4">
        <v>1.236574819035446</v>
      </c>
      <c r="O78" s="4">
        <v>-1.359276178964279E-2</v>
      </c>
      <c r="P78" s="4">
        <v>-1.488544518750508E-2</v>
      </c>
      <c r="Q78" s="4">
        <v>3.4274356643858042E-2</v>
      </c>
      <c r="R78" s="4">
        <v>-8.8625147934549758E-2</v>
      </c>
      <c r="S78" s="2">
        <v>4.2666666666666409E-2</v>
      </c>
      <c r="T78" s="2">
        <v>-0.1018307314036728</v>
      </c>
      <c r="W78" s="4">
        <v>4.1396001719734461E-2</v>
      </c>
      <c r="X78" s="4">
        <v>4.5332797272331693E-2</v>
      </c>
      <c r="Y78" s="4">
        <v>1.7584787163465031E-2</v>
      </c>
      <c r="Z78" s="4">
        <v>8.6954812435631676E-2</v>
      </c>
      <c r="AA78" s="2">
        <v>1.9449999999999079E-2</v>
      </c>
      <c r="AB78" s="2">
        <v>9.4092566212759632E-2</v>
      </c>
    </row>
    <row r="79" spans="1:28" x14ac:dyDescent="0.2">
      <c r="A79" s="2">
        <v>78248</v>
      </c>
      <c r="C79" s="2" t="s">
        <v>104</v>
      </c>
      <c r="D79" s="2" t="s">
        <v>99</v>
      </c>
      <c r="E79" s="2" t="s">
        <v>53</v>
      </c>
      <c r="F79" s="2">
        <v>78</v>
      </c>
      <c r="G79" s="2" t="str">
        <f>IFERROR(VLOOKUP(F79,Picks!$A$2:$B$231,2,0),"")</f>
        <v>Fellipe</v>
      </c>
      <c r="H79" s="2">
        <v>23</v>
      </c>
      <c r="I79" s="4">
        <v>0.60526315789473684</v>
      </c>
      <c r="J79" s="4">
        <v>4.17</v>
      </c>
      <c r="K79" s="4">
        <v>2.5239473684210521</v>
      </c>
      <c r="L79" s="4">
        <v>1.132258063110779</v>
      </c>
      <c r="M79" s="2" t="s">
        <v>619</v>
      </c>
      <c r="N79" s="2">
        <v>16</v>
      </c>
      <c r="O79" s="4">
        <v>-1.4176630184780541</v>
      </c>
      <c r="P79" s="4">
        <v>-1.608095364243763</v>
      </c>
      <c r="Q79" s="4">
        <v>-1.731274000368358</v>
      </c>
      <c r="R79" s="4">
        <v>-1.42332741005687</v>
      </c>
      <c r="S79" s="2">
        <v>-0.68699999999999939</v>
      </c>
      <c r="T79" s="2">
        <v>-0.78965779595384866</v>
      </c>
      <c r="U79" s="2" t="s">
        <v>653</v>
      </c>
      <c r="V79" s="2">
        <v>127</v>
      </c>
      <c r="W79" s="4">
        <v>-0.63540762751414637</v>
      </c>
      <c r="X79" s="4">
        <v>-0.72076089091156903</v>
      </c>
      <c r="Y79" s="4">
        <v>-0.66049183867712102</v>
      </c>
      <c r="Z79" s="4">
        <v>-0.81116446926324104</v>
      </c>
      <c r="AA79" s="2">
        <v>-0.73055000000000092</v>
      </c>
      <c r="AB79" s="2">
        <v>-0.87774953905039821</v>
      </c>
    </row>
    <row r="80" spans="1:28" x14ac:dyDescent="0.2">
      <c r="A80" s="2">
        <v>110426</v>
      </c>
      <c r="C80" s="2" t="s">
        <v>406</v>
      </c>
      <c r="D80" s="2" t="s">
        <v>58</v>
      </c>
      <c r="E80" s="2" t="s">
        <v>37</v>
      </c>
      <c r="F80" s="2">
        <v>79</v>
      </c>
      <c r="G80" s="2" t="str">
        <f>IFERROR(VLOOKUP(F80,Picks!$A$2:$B$231,2,0),"")</f>
        <v>Vidal</v>
      </c>
      <c r="H80" s="2">
        <v>29</v>
      </c>
      <c r="I80" s="4">
        <v>0.76315789473684215</v>
      </c>
      <c r="J80" s="4">
        <v>5.48</v>
      </c>
      <c r="K80" s="4">
        <v>4.1821052631578954</v>
      </c>
      <c r="L80" s="4">
        <v>2.3135241110118749</v>
      </c>
      <c r="M80" s="2" t="s">
        <v>648</v>
      </c>
      <c r="N80" s="2">
        <v>23</v>
      </c>
      <c r="O80" s="4">
        <v>-0.75900087461799803</v>
      </c>
      <c r="P80" s="4">
        <v>-0.81705476587773163</v>
      </c>
      <c r="Q80" s="4">
        <v>-0.96399330416074958</v>
      </c>
      <c r="R80" s="4">
        <v>-0.5966469584532047</v>
      </c>
      <c r="S80" s="2">
        <v>-0.85749999999999993</v>
      </c>
      <c r="T80" s="2">
        <v>-0.54348785425101109</v>
      </c>
      <c r="U80" s="2" t="s">
        <v>647</v>
      </c>
      <c r="V80" s="2">
        <v>48</v>
      </c>
      <c r="W80" s="4">
        <v>0.5599807985637596</v>
      </c>
      <c r="X80" s="4">
        <v>0.6028121910884664</v>
      </c>
      <c r="Y80" s="4">
        <v>0.52388200112443639</v>
      </c>
      <c r="Z80" s="4">
        <v>0.72120747603451152</v>
      </c>
      <c r="AA80" s="2">
        <v>0.57944999999999958</v>
      </c>
      <c r="AB80" s="2">
        <v>0.78040835568644473</v>
      </c>
    </row>
    <row r="81" spans="1:28" x14ac:dyDescent="0.2">
      <c r="A81" s="2">
        <v>84558</v>
      </c>
      <c r="C81" s="2" t="s">
        <v>143</v>
      </c>
      <c r="D81" s="2" t="s">
        <v>35</v>
      </c>
      <c r="E81" s="2" t="s">
        <v>29</v>
      </c>
      <c r="F81" s="11">
        <v>80</v>
      </c>
      <c r="G81" s="2" t="str">
        <f>IFERROR(VLOOKUP(F81,Picks!$A$2:$B$231,2,0),"")</f>
        <v>Massa</v>
      </c>
      <c r="H81" s="2">
        <v>33</v>
      </c>
      <c r="I81" s="4">
        <v>0.86842105263157898</v>
      </c>
      <c r="J81" s="4">
        <v>4.26</v>
      </c>
      <c r="K81" s="4">
        <v>3.6994736842105258</v>
      </c>
      <c r="L81" s="4">
        <v>0.89983833698999927</v>
      </c>
      <c r="M81" s="2" t="s">
        <v>620</v>
      </c>
      <c r="N81" s="2">
        <v>9</v>
      </c>
      <c r="O81" s="4">
        <v>-0.25174076927234568</v>
      </c>
      <c r="P81" s="4">
        <v>-0.26208628033833248</v>
      </c>
      <c r="Q81" s="4">
        <v>-0.49590709769082442</v>
      </c>
      <c r="R81" s="4">
        <v>8.8644945690405222E-2</v>
      </c>
      <c r="S81" s="2">
        <v>-0.61733333333333373</v>
      </c>
      <c r="T81" s="2">
        <v>0.1018534791226431</v>
      </c>
      <c r="U81" s="2" t="s">
        <v>649</v>
      </c>
      <c r="V81" s="2">
        <v>73</v>
      </c>
      <c r="W81" s="4">
        <v>-0.2280274843649544</v>
      </c>
      <c r="X81" s="4">
        <v>-0.2373984768731032</v>
      </c>
      <c r="Y81" s="4">
        <v>-0.57912264357625076</v>
      </c>
      <c r="Z81" s="4">
        <v>0.27518777318161808</v>
      </c>
      <c r="AA81" s="2">
        <v>-0.64055000000000106</v>
      </c>
      <c r="AB81" s="2">
        <v>0.29777677673907549</v>
      </c>
    </row>
    <row r="82" spans="1:28" x14ac:dyDescent="0.2">
      <c r="A82" s="2">
        <v>98517</v>
      </c>
      <c r="C82" s="2" t="s">
        <v>271</v>
      </c>
      <c r="D82" s="2" t="s">
        <v>45</v>
      </c>
      <c r="E82" s="2" t="s">
        <v>29</v>
      </c>
      <c r="F82" s="11">
        <v>81</v>
      </c>
      <c r="G82" s="2" t="str">
        <f>IFERROR(VLOOKUP(F82,Picks!$A$2:$B$231,2,0),"")</f>
        <v>Massa</v>
      </c>
      <c r="H82" s="2">
        <v>32</v>
      </c>
      <c r="I82" s="4">
        <v>0.84210526315789469</v>
      </c>
      <c r="J82" s="4">
        <v>4.18</v>
      </c>
      <c r="K82" s="4">
        <v>3.52</v>
      </c>
      <c r="L82" s="4">
        <v>0.99933608828771736</v>
      </c>
      <c r="M82" s="2" t="s">
        <v>620</v>
      </c>
      <c r="N82" s="2">
        <v>10</v>
      </c>
      <c r="O82" s="4">
        <v>-0.34592398341657699</v>
      </c>
      <c r="P82" s="4">
        <v>-0.36312462347596491</v>
      </c>
      <c r="Q82" s="4">
        <v>-0.56017151639805873</v>
      </c>
      <c r="R82" s="4">
        <v>-6.755428409282406E-2</v>
      </c>
      <c r="S82" s="2">
        <v>-0.6973333333333338</v>
      </c>
      <c r="T82" s="2">
        <v>-7.7620205087883587E-2</v>
      </c>
      <c r="U82" s="2" t="s">
        <v>649</v>
      </c>
      <c r="V82" s="2">
        <v>77</v>
      </c>
      <c r="W82" s="4">
        <v>-0.33069556202730632</v>
      </c>
      <c r="X82" s="4">
        <v>-0.34713898776347069</v>
      </c>
      <c r="Y82" s="4">
        <v>-0.65145081699924667</v>
      </c>
      <c r="Z82" s="4">
        <v>0.1093287560901931</v>
      </c>
      <c r="AA82" s="2">
        <v>-0.72055000000000113</v>
      </c>
      <c r="AB82" s="2">
        <v>0.1183030925285489</v>
      </c>
    </row>
    <row r="83" spans="1:28" x14ac:dyDescent="0.2">
      <c r="A83" s="2">
        <v>104758</v>
      </c>
      <c r="C83" s="2" t="s">
        <v>341</v>
      </c>
      <c r="D83" s="2" t="s">
        <v>52</v>
      </c>
      <c r="E83" s="2" t="s">
        <v>37</v>
      </c>
      <c r="F83" s="11">
        <v>82</v>
      </c>
      <c r="G83" s="2" t="str">
        <f>IFERROR(VLOOKUP(F83,Picks!$A$2:$B$231,2,0),"")</f>
        <v>Vidal</v>
      </c>
      <c r="H83" s="2">
        <v>27</v>
      </c>
      <c r="I83" s="4">
        <v>0.71052631578947367</v>
      </c>
      <c r="J83" s="4">
        <v>6.06</v>
      </c>
      <c r="K83" s="4">
        <v>4.3057894736842099</v>
      </c>
      <c r="L83" s="4">
        <v>1.2002308929125121</v>
      </c>
      <c r="M83" s="2" t="s">
        <v>631</v>
      </c>
      <c r="N83" s="2">
        <v>4</v>
      </c>
      <c r="O83" s="4">
        <v>-0.33925983262836601</v>
      </c>
      <c r="P83" s="4">
        <v>-0.37152373601953631</v>
      </c>
      <c r="Q83" s="4">
        <v>-0.31196284770216759</v>
      </c>
      <c r="R83" s="4">
        <v>-0.46086506849558923</v>
      </c>
      <c r="S83" s="2">
        <v>-0.27750000000000069</v>
      </c>
      <c r="T83" s="2">
        <v>-0.41980364372469658</v>
      </c>
      <c r="U83" s="2" t="s">
        <v>646</v>
      </c>
      <c r="V83" s="2">
        <v>16</v>
      </c>
      <c r="W83" s="4">
        <v>0.87951753498010687</v>
      </c>
      <c r="X83" s="4">
        <v>0.96316041294651478</v>
      </c>
      <c r="Y83" s="4">
        <v>1.048261258441155</v>
      </c>
      <c r="Z83" s="4">
        <v>0.83550914470455373</v>
      </c>
      <c r="AA83" s="2">
        <v>1.159449999999999</v>
      </c>
      <c r="AB83" s="2">
        <v>0.90409256621275924</v>
      </c>
    </row>
    <row r="84" spans="1:28" x14ac:dyDescent="0.2">
      <c r="A84" s="2">
        <v>97900</v>
      </c>
      <c r="C84" s="2" t="s">
        <v>264</v>
      </c>
      <c r="D84" s="2" t="s">
        <v>47</v>
      </c>
      <c r="E84" s="2" t="s">
        <v>53</v>
      </c>
      <c r="F84" s="2">
        <v>83</v>
      </c>
      <c r="G84" s="2" t="str">
        <f>IFERROR(VLOOKUP(F84,Picks!$A$2:$B$231,2,0),"")</f>
        <v>Fellipe</v>
      </c>
      <c r="H84" s="2">
        <v>30</v>
      </c>
      <c r="I84" s="4">
        <v>0.78947368421052633</v>
      </c>
      <c r="J84" s="4">
        <v>2.71</v>
      </c>
      <c r="K84" s="4">
        <v>2.1394736842105262</v>
      </c>
      <c r="L84" s="4">
        <v>1.166113683889926</v>
      </c>
      <c r="M84" s="2" t="s">
        <v>623</v>
      </c>
      <c r="N84" s="2">
        <v>44</v>
      </c>
      <c r="O84" s="4">
        <v>-3.8343619420009349</v>
      </c>
      <c r="P84" s="4">
        <v>-4.0928582526976269</v>
      </c>
      <c r="Q84" s="4">
        <v>-5.4105462573375078</v>
      </c>
      <c r="R84" s="4">
        <v>-2.116326245737806</v>
      </c>
      <c r="S84" s="2">
        <v>-2.1469999999999989</v>
      </c>
      <c r="T84" s="2">
        <v>-1.174131480164375</v>
      </c>
      <c r="U84" s="2" t="s">
        <v>657</v>
      </c>
      <c r="V84" s="2">
        <v>236</v>
      </c>
      <c r="W84" s="4">
        <v>-1.5503589876693979</v>
      </c>
      <c r="X84" s="4">
        <v>-1.654877571107785</v>
      </c>
      <c r="Y84" s="4">
        <v>-1.980481003646795</v>
      </c>
      <c r="Z84" s="4">
        <v>-1.16647242229927</v>
      </c>
      <c r="AA84" s="2">
        <v>-2.1905500000000009</v>
      </c>
      <c r="AB84" s="2">
        <v>-1.262223223260925</v>
      </c>
    </row>
    <row r="85" spans="1:28" x14ac:dyDescent="0.2">
      <c r="A85" s="2">
        <v>97653</v>
      </c>
      <c r="C85" s="2" t="s">
        <v>257</v>
      </c>
      <c r="D85" s="2" t="s">
        <v>65</v>
      </c>
      <c r="E85" s="2" t="s">
        <v>53</v>
      </c>
      <c r="F85" s="2">
        <v>84</v>
      </c>
      <c r="G85" s="2" t="str">
        <f>IFERROR(VLOOKUP(F85,Picks!$A$2:$B$231,2,0),"")</f>
        <v>Carlos</v>
      </c>
      <c r="H85" s="2">
        <v>16</v>
      </c>
      <c r="I85" s="4">
        <v>0.42105263157894729</v>
      </c>
      <c r="J85" s="4">
        <v>4.01</v>
      </c>
      <c r="K85" s="4">
        <v>1.688421052631579</v>
      </c>
      <c r="L85" s="4">
        <v>1.1276350521382399</v>
      </c>
      <c r="M85" s="2" t="s">
        <v>653</v>
      </c>
      <c r="N85" s="2">
        <v>25</v>
      </c>
      <c r="O85" s="4">
        <v>-2.0264746635452719</v>
      </c>
      <c r="P85" s="4">
        <v>-2.4524215673477809</v>
      </c>
      <c r="Q85" s="4">
        <v>-2.1344819189403199</v>
      </c>
      <c r="R85" s="4">
        <v>-2.9293310399589729</v>
      </c>
      <c r="S85" s="2">
        <v>-0.84699999999999953</v>
      </c>
      <c r="T85" s="2">
        <v>-1.6251841117433219</v>
      </c>
      <c r="U85" s="2" t="s">
        <v>621</v>
      </c>
      <c r="V85" s="2">
        <v>171</v>
      </c>
      <c r="W85" s="4">
        <v>-0.92250919324461456</v>
      </c>
      <c r="X85" s="4">
        <v>-1.1164123994680051</v>
      </c>
      <c r="Y85" s="4">
        <v>-0.80514818552311285</v>
      </c>
      <c r="Z85" s="4">
        <v>-1.5833087203853431</v>
      </c>
      <c r="AA85" s="2">
        <v>-0.89055000000000106</v>
      </c>
      <c r="AB85" s="2">
        <v>-1.7132758548398721</v>
      </c>
    </row>
    <row r="86" spans="1:28" x14ac:dyDescent="0.2">
      <c r="A86" s="2">
        <v>90532</v>
      </c>
      <c r="C86" s="2" t="s">
        <v>194</v>
      </c>
      <c r="D86" s="2" t="s">
        <v>31</v>
      </c>
      <c r="E86" s="2" t="s">
        <v>29</v>
      </c>
      <c r="F86" s="2">
        <v>85</v>
      </c>
      <c r="G86" s="2" t="str">
        <f>IFERROR(VLOOKUP(F86,Picks!$A$2:$B$231,2,0),"")</f>
        <v>Fernando</v>
      </c>
      <c r="H86" s="2">
        <v>12</v>
      </c>
      <c r="I86" s="4">
        <v>0.70588235294117652</v>
      </c>
      <c r="J86" s="4">
        <v>3.71</v>
      </c>
      <c r="K86" s="4">
        <v>2.618823529411765</v>
      </c>
      <c r="L86" s="4">
        <v>1.219359462996864</v>
      </c>
      <c r="M86" s="2" t="s">
        <v>619</v>
      </c>
      <c r="N86" s="2">
        <v>25</v>
      </c>
      <c r="O86" s="4">
        <v>-0.82367077048503179</v>
      </c>
      <c r="P86" s="4">
        <v>-0.90338084504809935</v>
      </c>
      <c r="Q86" s="4">
        <v>-0.93772497630305951</v>
      </c>
      <c r="R86" s="4">
        <v>-0.85186464816565921</v>
      </c>
      <c r="S86" s="2">
        <v>-1.167333333333334</v>
      </c>
      <c r="T86" s="2">
        <v>-0.97879667567611817</v>
      </c>
      <c r="U86" s="2" t="s">
        <v>648</v>
      </c>
      <c r="V86" s="2">
        <v>123</v>
      </c>
      <c r="W86" s="4">
        <v>-0.85270195895925061</v>
      </c>
      <c r="X86" s="4">
        <v>-0.93522150337466203</v>
      </c>
      <c r="Y86" s="4">
        <v>-1.0763788358593469</v>
      </c>
      <c r="Z86" s="4">
        <v>-0.72348550464763417</v>
      </c>
      <c r="AA86" s="2">
        <v>-1.1905500000000011</v>
      </c>
      <c r="AB86" s="2">
        <v>-0.78287337805968571</v>
      </c>
    </row>
    <row r="87" spans="1:28" x14ac:dyDescent="0.2">
      <c r="A87" s="2">
        <v>98672</v>
      </c>
      <c r="C87" s="2" t="s">
        <v>272</v>
      </c>
      <c r="D87" s="2" t="s">
        <v>61</v>
      </c>
      <c r="E87" s="2" t="s">
        <v>29</v>
      </c>
      <c r="F87" s="2">
        <v>86</v>
      </c>
      <c r="G87" s="2" t="str">
        <f>IFERROR(VLOOKUP(F87,Picks!$A$2:$B$231,2,0),"")</f>
        <v>Rodolfo</v>
      </c>
      <c r="H87" s="2">
        <v>25</v>
      </c>
      <c r="I87" s="4">
        <v>0.65789473684210531</v>
      </c>
      <c r="J87" s="4">
        <v>3.71</v>
      </c>
      <c r="K87" s="4">
        <v>2.4407894736842111</v>
      </c>
      <c r="L87" s="4">
        <v>1.238917787051484</v>
      </c>
      <c r="M87" s="2" t="s">
        <v>619</v>
      </c>
      <c r="N87" s="2">
        <v>27</v>
      </c>
      <c r="O87" s="4">
        <v>-0.8662830072896619</v>
      </c>
      <c r="P87" s="4">
        <v>-0.96535936296208658</v>
      </c>
      <c r="Q87" s="4">
        <v>-0.93772497630305951</v>
      </c>
      <c r="R87" s="4">
        <v>-1.0068109429506269</v>
      </c>
      <c r="S87" s="2">
        <v>-1.167333333333334</v>
      </c>
      <c r="T87" s="2">
        <v>-1.156830731403673</v>
      </c>
      <c r="U87" s="2" t="s">
        <v>653</v>
      </c>
      <c r="V87" s="2">
        <v>132</v>
      </c>
      <c r="W87" s="4">
        <v>-0.89829535080133294</v>
      </c>
      <c r="X87" s="4">
        <v>-1.001032942241955</v>
      </c>
      <c r="Y87" s="4">
        <v>-1.0763788358593469</v>
      </c>
      <c r="Z87" s="4">
        <v>-0.88801410181586582</v>
      </c>
      <c r="AA87" s="2">
        <v>-1.1905500000000011</v>
      </c>
      <c r="AB87" s="2">
        <v>-0.96090743378724008</v>
      </c>
    </row>
    <row r="88" spans="1:28" x14ac:dyDescent="0.2">
      <c r="A88" s="2">
        <v>92440</v>
      </c>
      <c r="C88" s="2" t="s">
        <v>215</v>
      </c>
      <c r="D88" s="2" t="s">
        <v>99</v>
      </c>
      <c r="E88" s="2" t="s">
        <v>53</v>
      </c>
      <c r="F88" s="2">
        <v>87</v>
      </c>
      <c r="G88" s="2" t="str">
        <f>IFERROR(VLOOKUP(F88,Picks!$A$2:$B$231,2,0),"")</f>
        <v>Petindá</v>
      </c>
      <c r="H88" s="2">
        <v>21</v>
      </c>
      <c r="I88" s="4">
        <v>0.55263157894736847</v>
      </c>
      <c r="J88" s="4">
        <v>3.86</v>
      </c>
      <c r="K88" s="4">
        <v>2.1331578947368421</v>
      </c>
      <c r="L88" s="4">
        <v>0.84731510527339637</v>
      </c>
      <c r="M88" s="2" t="s">
        <v>653</v>
      </c>
      <c r="N88" s="2">
        <v>24</v>
      </c>
      <c r="O88" s="4">
        <v>-2.0420317365520999</v>
      </c>
      <c r="P88" s="4">
        <v>-2.358577689634644</v>
      </c>
      <c r="Q88" s="4">
        <v>-2.5124893426015338</v>
      </c>
      <c r="R88" s="4">
        <v>-2.1277102101843099</v>
      </c>
      <c r="S88" s="2">
        <v>-0.99699999999999944</v>
      </c>
      <c r="T88" s="2">
        <v>-1.180447269638059</v>
      </c>
      <c r="U88" s="2" t="s">
        <v>621</v>
      </c>
      <c r="V88" s="2">
        <v>165</v>
      </c>
      <c r="W88" s="4">
        <v>-0.89469103946972472</v>
      </c>
      <c r="X88" s="4">
        <v>-1.0333817477157909</v>
      </c>
      <c r="Y88" s="4">
        <v>-0.94076351069122988</v>
      </c>
      <c r="Z88" s="4">
        <v>-1.1723091032526329</v>
      </c>
      <c r="AA88" s="2">
        <v>-1.040550000000001</v>
      </c>
      <c r="AB88" s="2">
        <v>-1.268539012734609</v>
      </c>
    </row>
    <row r="89" spans="1:28" x14ac:dyDescent="0.2">
      <c r="A89" s="2">
        <v>107183</v>
      </c>
      <c r="C89" s="2" t="s">
        <v>379</v>
      </c>
      <c r="D89" s="2" t="s">
        <v>61</v>
      </c>
      <c r="E89" s="2" t="s">
        <v>24</v>
      </c>
      <c r="F89" s="2">
        <v>88</v>
      </c>
      <c r="G89" s="2" t="str">
        <f>IFERROR(VLOOKUP(F89,Picks!$A$2:$B$231,2,0),"")</f>
        <v>Fochesato</v>
      </c>
      <c r="H89" s="2">
        <v>14</v>
      </c>
      <c r="I89" s="4">
        <v>0.36842105263157893</v>
      </c>
      <c r="J89" s="4">
        <v>3.9</v>
      </c>
      <c r="K89" s="4">
        <v>1.4368421052631579</v>
      </c>
      <c r="L89" s="4">
        <v>2.3672356500872689</v>
      </c>
      <c r="M89" s="2" t="s">
        <v>623</v>
      </c>
      <c r="N89" s="2">
        <v>19</v>
      </c>
      <c r="O89" s="4">
        <v>-1.8727210821047411</v>
      </c>
      <c r="P89" s="4">
        <v>-2.3105000363629919</v>
      </c>
      <c r="Q89" s="4">
        <v>-1.3039108543042399</v>
      </c>
      <c r="R89" s="4">
        <v>-3.82038380945112</v>
      </c>
      <c r="S89" s="2">
        <v>-1.641</v>
      </c>
      <c r="T89" s="2">
        <v>-2.7247980085348509</v>
      </c>
      <c r="U89" s="2" t="s">
        <v>623</v>
      </c>
      <c r="V89" s="2">
        <v>256</v>
      </c>
      <c r="W89" s="4">
        <v>-1.028623487172448</v>
      </c>
      <c r="X89" s="4">
        <v>-1.2690809257322411</v>
      </c>
      <c r="Y89" s="4">
        <v>-0.90459942397973192</v>
      </c>
      <c r="Z89" s="4">
        <v>-1.8158031783610049</v>
      </c>
      <c r="AA89" s="2">
        <v>-1.0005500000000009</v>
      </c>
      <c r="AB89" s="2">
        <v>-1.964854802208293</v>
      </c>
    </row>
    <row r="90" spans="1:28" x14ac:dyDescent="0.2">
      <c r="A90" s="2">
        <v>105584</v>
      </c>
      <c r="C90" s="2" t="s">
        <v>356</v>
      </c>
      <c r="D90" s="2" t="s">
        <v>67</v>
      </c>
      <c r="E90" s="2" t="s">
        <v>37</v>
      </c>
      <c r="F90" s="2">
        <v>89</v>
      </c>
      <c r="G90" s="2" t="str">
        <f>IFERROR(VLOOKUP(F90,Picks!$A$2:$B$231,2,0),"")</f>
        <v>Anuda</v>
      </c>
      <c r="H90" s="2">
        <v>28</v>
      </c>
      <c r="I90" s="4">
        <v>0.73684210526315785</v>
      </c>
      <c r="J90" s="4">
        <v>4.3</v>
      </c>
      <c r="K90" s="4">
        <v>3.168421052631579</v>
      </c>
      <c r="L90" s="4">
        <v>1.0400956023462049</v>
      </c>
      <c r="M90" s="2" t="s">
        <v>621</v>
      </c>
      <c r="N90" s="2">
        <v>29</v>
      </c>
      <c r="O90" s="4">
        <v>-1.895632310419924</v>
      </c>
      <c r="P90" s="4">
        <v>-2.0581150798844892</v>
      </c>
      <c r="Q90" s="4">
        <v>-2.2905380259213159</v>
      </c>
      <c r="R90" s="4">
        <v>-1.7094806608292501</v>
      </c>
      <c r="S90" s="2">
        <v>-2.037500000000001</v>
      </c>
      <c r="T90" s="2">
        <v>-1.5571720647773279</v>
      </c>
      <c r="U90" s="2" t="s">
        <v>648</v>
      </c>
      <c r="V90" s="2">
        <v>115</v>
      </c>
      <c r="W90" s="4">
        <v>-0.37948018768119429</v>
      </c>
      <c r="X90" s="4">
        <v>-0.41200706091101102</v>
      </c>
      <c r="Y90" s="4">
        <v>-0.54295855686475281</v>
      </c>
      <c r="Z90" s="4">
        <v>-0.21557981698039819</v>
      </c>
      <c r="AA90" s="2">
        <v>-0.60055000000000103</v>
      </c>
      <c r="AB90" s="2">
        <v>-0.23327585483987209</v>
      </c>
    </row>
    <row r="91" spans="1:28" x14ac:dyDescent="0.2">
      <c r="A91" s="2">
        <v>51772</v>
      </c>
      <c r="C91" s="2" t="s">
        <v>44</v>
      </c>
      <c r="D91" s="2" t="s">
        <v>45</v>
      </c>
      <c r="E91" s="2" t="s">
        <v>29</v>
      </c>
      <c r="F91" s="11">
        <v>90</v>
      </c>
      <c r="G91" s="2" t="str">
        <f>IFERROR(VLOOKUP(F91,Picks!$A$2:$B$231,2,0),"")</f>
        <v>Sousa</v>
      </c>
      <c r="H91" s="2">
        <v>30</v>
      </c>
      <c r="I91" s="4">
        <v>0.78947368421052633</v>
      </c>
      <c r="J91" s="4">
        <v>3.85</v>
      </c>
      <c r="K91" s="4">
        <v>3.039473684210527</v>
      </c>
      <c r="L91" s="4">
        <v>1.230943762415831</v>
      </c>
      <c r="M91" s="2" t="s">
        <v>619</v>
      </c>
      <c r="N91" s="2">
        <v>24</v>
      </c>
      <c r="O91" s="4">
        <v>-0.64591833958794143</v>
      </c>
      <c r="P91" s="4">
        <v>-0.68946339618937569</v>
      </c>
      <c r="Q91" s="4">
        <v>-0.82526224356539957</v>
      </c>
      <c r="R91" s="4">
        <v>-0.48576512512533981</v>
      </c>
      <c r="S91" s="2">
        <v>-1.027333333333333</v>
      </c>
      <c r="T91" s="2">
        <v>-0.55814652087735661</v>
      </c>
      <c r="U91" s="2" t="s">
        <v>648</v>
      </c>
      <c r="V91" s="2">
        <v>120</v>
      </c>
      <c r="W91" s="4">
        <v>-0.65933155564156842</v>
      </c>
      <c r="X91" s="4">
        <v>-0.7037808739994269</v>
      </c>
      <c r="Y91" s="4">
        <v>-0.94980453236910423</v>
      </c>
      <c r="Z91" s="4">
        <v>-0.33474538644491098</v>
      </c>
      <c r="AA91" s="2">
        <v>-1.050550000000001</v>
      </c>
      <c r="AB91" s="2">
        <v>-0.36222322326092421</v>
      </c>
    </row>
    <row r="92" spans="1:28" x14ac:dyDescent="0.2">
      <c r="A92" s="2">
        <v>70164</v>
      </c>
      <c r="C92" s="2" t="s">
        <v>75</v>
      </c>
      <c r="D92" s="2" t="s">
        <v>52</v>
      </c>
      <c r="E92" s="2" t="s">
        <v>29</v>
      </c>
      <c r="F92" s="2">
        <v>91</v>
      </c>
      <c r="G92" s="2" t="str">
        <f>IFERROR(VLOOKUP(F92,Picks!$A$2:$B$231,2,0),"")</f>
        <v>Sousa</v>
      </c>
      <c r="I92" s="4"/>
      <c r="J92" s="4"/>
      <c r="K92" s="4"/>
      <c r="L92" s="4"/>
      <c r="M92" s="2" t="s">
        <v>648</v>
      </c>
      <c r="N92" s="2">
        <v>48</v>
      </c>
      <c r="O92" s="4"/>
      <c r="P92" s="4"/>
      <c r="Q92" s="4"/>
      <c r="R92" s="4"/>
      <c r="U92" s="2" t="s">
        <v>621</v>
      </c>
      <c r="V92" s="2">
        <v>147</v>
      </c>
      <c r="W92" s="4"/>
      <c r="X92" s="4"/>
      <c r="Y92" s="4"/>
      <c r="Z92" s="4"/>
    </row>
    <row r="93" spans="1:28" x14ac:dyDescent="0.2">
      <c r="A93" s="2">
        <v>91473</v>
      </c>
      <c r="C93" s="2" t="s">
        <v>203</v>
      </c>
      <c r="D93" s="2" t="s">
        <v>47</v>
      </c>
      <c r="E93" s="2" t="s">
        <v>29</v>
      </c>
      <c r="F93" s="2">
        <v>92</v>
      </c>
      <c r="G93" s="2" t="str">
        <f>IFERROR(VLOOKUP(F93,Picks!$A$2:$B$231,2,0),"")</f>
        <v>Anuda</v>
      </c>
      <c r="H93" s="2">
        <v>15</v>
      </c>
      <c r="I93" s="4">
        <v>0.39473684210526322</v>
      </c>
      <c r="J93" s="4">
        <v>2.0699999999999998</v>
      </c>
      <c r="K93" s="4">
        <v>0.81710526315789467</v>
      </c>
      <c r="L93" s="4">
        <v>0.7277798035049875</v>
      </c>
      <c r="M93" s="2" t="s">
        <v>657</v>
      </c>
      <c r="N93" s="2">
        <v>80</v>
      </c>
      <c r="O93" s="4">
        <v>-1.899604809327583</v>
      </c>
      <c r="P93" s="4">
        <v>-2.3210605387282359</v>
      </c>
      <c r="Q93" s="4">
        <v>-2.255145559801361</v>
      </c>
      <c r="R93" s="4">
        <v>-2.4199330071185492</v>
      </c>
      <c r="S93" s="2">
        <v>-2.8073333333333341</v>
      </c>
      <c r="T93" s="2">
        <v>-2.7805149419299879</v>
      </c>
      <c r="U93" s="2" t="s">
        <v>657</v>
      </c>
      <c r="V93" s="2">
        <v>246</v>
      </c>
      <c r="W93" s="4">
        <v>-2.0385844031103271</v>
      </c>
      <c r="X93" s="4">
        <v>-2.4908748333823931</v>
      </c>
      <c r="Y93" s="4">
        <v>-2.5591063910307619</v>
      </c>
      <c r="Z93" s="4">
        <v>-2.3885274969098398</v>
      </c>
      <c r="AA93" s="2">
        <v>-2.830550000000001</v>
      </c>
      <c r="AB93" s="2">
        <v>-2.5845916443135559</v>
      </c>
    </row>
    <row r="94" spans="1:28" x14ac:dyDescent="0.2">
      <c r="A94" s="2">
        <v>95799</v>
      </c>
      <c r="C94" s="2" t="s">
        <v>238</v>
      </c>
      <c r="D94" s="2" t="s">
        <v>61</v>
      </c>
      <c r="E94" s="2" t="s">
        <v>27</v>
      </c>
      <c r="F94" s="2">
        <v>93</v>
      </c>
      <c r="G94" s="2" t="str">
        <f>IFERROR(VLOOKUP(F94,Picks!$A$2:$B$231,2,0),"")</f>
        <v>Fochesato</v>
      </c>
      <c r="H94" s="2">
        <v>25</v>
      </c>
      <c r="I94" s="4">
        <v>0.65789473684210531</v>
      </c>
      <c r="J94" s="4">
        <v>4.38</v>
      </c>
      <c r="K94" s="4">
        <v>2.8815789473684208</v>
      </c>
      <c r="L94" s="4">
        <v>0.96755829858796072</v>
      </c>
      <c r="M94" s="2" t="s">
        <v>653</v>
      </c>
      <c r="N94" s="2">
        <v>42</v>
      </c>
      <c r="O94" s="4">
        <v>-1.017776537615664</v>
      </c>
      <c r="P94" s="4">
        <v>-1.13417913282684</v>
      </c>
      <c r="Q94" s="4">
        <v>-0.99225130780911064</v>
      </c>
      <c r="R94" s="4">
        <v>-1.347070870353434</v>
      </c>
      <c r="S94" s="2">
        <v>-1.291333333333333</v>
      </c>
      <c r="T94" s="2">
        <v>-1.477353563286234</v>
      </c>
      <c r="U94" s="2" t="s">
        <v>648</v>
      </c>
      <c r="V94" s="2">
        <v>116</v>
      </c>
      <c r="W94" s="4">
        <v>-0.42592981372168498</v>
      </c>
      <c r="X94" s="4">
        <v>-0.47464319417665768</v>
      </c>
      <c r="Y94" s="4">
        <v>-0.47063038344175689</v>
      </c>
      <c r="Z94" s="4">
        <v>-0.48066241027900902</v>
      </c>
      <c r="AA94" s="2">
        <v>-0.52055000000000096</v>
      </c>
      <c r="AB94" s="2">
        <v>-0.52011796010302946</v>
      </c>
    </row>
    <row r="95" spans="1:28" x14ac:dyDescent="0.2">
      <c r="A95" s="2">
        <v>107989</v>
      </c>
      <c r="C95" s="2" t="s">
        <v>388</v>
      </c>
      <c r="D95" s="2" t="s">
        <v>58</v>
      </c>
      <c r="E95" s="2" t="s">
        <v>27</v>
      </c>
      <c r="F95" s="2">
        <v>94</v>
      </c>
      <c r="G95" s="2" t="str">
        <f>IFERROR(VLOOKUP(F95,Picks!$A$2:$B$231,2,0),"")</f>
        <v>Petindá</v>
      </c>
      <c r="H95" s="2">
        <v>23</v>
      </c>
      <c r="I95" s="4">
        <v>0.60526315789473684</v>
      </c>
      <c r="J95" s="4">
        <v>4.5599999999999996</v>
      </c>
      <c r="K95" s="4">
        <v>2.76</v>
      </c>
      <c r="L95" s="4">
        <v>1.415919045190086</v>
      </c>
      <c r="M95" s="2" t="s">
        <v>619</v>
      </c>
      <c r="N95" s="2">
        <v>31</v>
      </c>
      <c r="O95" s="4">
        <v>-0.96580115002765399</v>
      </c>
      <c r="P95" s="4">
        <v>-1.0955356328671899</v>
      </c>
      <c r="Q95" s="4">
        <v>-0.85394059376240983</v>
      </c>
      <c r="R95" s="4">
        <v>-1.45792819152436</v>
      </c>
      <c r="S95" s="2">
        <v>-1.111333333333334</v>
      </c>
      <c r="T95" s="2">
        <v>-1.5989325106546559</v>
      </c>
      <c r="U95" s="2" t="s">
        <v>649</v>
      </c>
      <c r="V95" s="2">
        <v>78</v>
      </c>
      <c r="W95" s="4">
        <v>-0.37197571615219149</v>
      </c>
      <c r="X95" s="4">
        <v>-0.42194260339651579</v>
      </c>
      <c r="Y95" s="4">
        <v>-0.30789199324001648</v>
      </c>
      <c r="Z95" s="4">
        <v>-0.59301851863126476</v>
      </c>
      <c r="AA95" s="2">
        <v>-0.34055000000000119</v>
      </c>
      <c r="AB95" s="2">
        <v>-0.64169690747145092</v>
      </c>
    </row>
    <row r="96" spans="1:28" x14ac:dyDescent="0.2">
      <c r="A96" s="2">
        <v>125926</v>
      </c>
      <c r="C96" s="2" t="s">
        <v>522</v>
      </c>
      <c r="D96" s="2" t="s">
        <v>43</v>
      </c>
      <c r="E96" s="2" t="s">
        <v>29</v>
      </c>
      <c r="F96" s="2">
        <v>95</v>
      </c>
      <c r="G96" s="2" t="str">
        <f>IFERROR(VLOOKUP(F96,Picks!$A$2:$B$231,2,0),"")</f>
        <v>Rodolfo</v>
      </c>
      <c r="I96" s="4"/>
      <c r="J96" s="4"/>
      <c r="K96" s="4"/>
      <c r="L96" s="4"/>
      <c r="M96" s="2" t="s">
        <v>619</v>
      </c>
      <c r="N96" s="2">
        <v>38</v>
      </c>
      <c r="O96" s="4"/>
      <c r="P96" s="4"/>
      <c r="Q96" s="4"/>
      <c r="R96" s="4"/>
      <c r="U96" s="2" t="s">
        <v>653</v>
      </c>
      <c r="V96" s="2">
        <v>142</v>
      </c>
      <c r="W96" s="4"/>
      <c r="X96" s="4"/>
      <c r="Y96" s="4"/>
      <c r="Z96" s="4"/>
    </row>
    <row r="97" spans="1:28" x14ac:dyDescent="0.2">
      <c r="A97" s="2">
        <v>101727</v>
      </c>
      <c r="C97" s="2" t="s">
        <v>196</v>
      </c>
      <c r="D97" s="2" t="s">
        <v>99</v>
      </c>
      <c r="E97" s="2" t="s">
        <v>37</v>
      </c>
      <c r="F97" s="11">
        <v>96</v>
      </c>
      <c r="G97" s="2" t="str">
        <f>IFERROR(VLOOKUP(F97,Picks!$A$2:$B$231,2,0),"")</f>
        <v>Fernando</v>
      </c>
      <c r="H97" s="2">
        <v>31</v>
      </c>
      <c r="I97" s="4">
        <v>0.81578947368421051</v>
      </c>
      <c r="J97" s="4">
        <v>5.56</v>
      </c>
      <c r="K97" s="4">
        <v>4.5357894736842104</v>
      </c>
      <c r="L97" s="4">
        <v>1.1350236084547509</v>
      </c>
      <c r="M97" s="2" t="s">
        <v>631</v>
      </c>
      <c r="N97" s="2">
        <v>5</v>
      </c>
      <c r="O97" s="4">
        <v>-0.57419428766518132</v>
      </c>
      <c r="P97" s="4">
        <v>-0.60778225435311672</v>
      </c>
      <c r="Q97" s="4">
        <v>-0.87405806878715286</v>
      </c>
      <c r="R97" s="4">
        <v>-0.20836853270206271</v>
      </c>
      <c r="S97" s="2">
        <v>-0.77750000000000075</v>
      </c>
      <c r="T97" s="2">
        <v>-0.18980364372469621</v>
      </c>
      <c r="U97" s="2" t="s">
        <v>631</v>
      </c>
      <c r="V97" s="2">
        <v>21</v>
      </c>
      <c r="W97" s="4">
        <v>0.73401399660695721</v>
      </c>
      <c r="X97" s="4">
        <v>0.77695074849761492</v>
      </c>
      <c r="Y97" s="4">
        <v>0.59621017454743153</v>
      </c>
      <c r="Z97" s="4">
        <v>1.0480616094228901</v>
      </c>
      <c r="AA97" s="2">
        <v>0.65944999999999876</v>
      </c>
      <c r="AB97" s="2">
        <v>1.1340925662127599</v>
      </c>
    </row>
    <row r="98" spans="1:28" x14ac:dyDescent="0.2">
      <c r="A98" s="2">
        <v>90285</v>
      </c>
      <c r="C98" s="2" t="s">
        <v>79</v>
      </c>
      <c r="D98" s="2" t="s">
        <v>47</v>
      </c>
      <c r="E98" s="2" t="s">
        <v>27</v>
      </c>
      <c r="F98" s="2">
        <v>97</v>
      </c>
      <c r="G98" s="2" t="str">
        <f>IFERROR(VLOOKUP(F98,Picks!$A$2:$B$231,2,0),"")</f>
        <v>Carlos</v>
      </c>
      <c r="H98" s="2">
        <v>30</v>
      </c>
      <c r="I98" s="4">
        <v>0.78947368421052633</v>
      </c>
      <c r="J98" s="4">
        <v>3.38</v>
      </c>
      <c r="K98" s="4">
        <v>2.668421052631579</v>
      </c>
      <c r="L98" s="4">
        <v>0.96830177190758782</v>
      </c>
      <c r="M98" s="2" t="s">
        <v>657</v>
      </c>
      <c r="N98" s="2">
        <v>57</v>
      </c>
      <c r="O98" s="4">
        <v>-1.567298376944626</v>
      </c>
      <c r="P98" s="4">
        <v>-1.6729589416824659</v>
      </c>
      <c r="Q98" s="4">
        <v>-1.7606441636241159</v>
      </c>
      <c r="R98" s="4">
        <v>-1.541431108769991</v>
      </c>
      <c r="S98" s="2">
        <v>-2.2913333333333332</v>
      </c>
      <c r="T98" s="2">
        <v>-1.6905114580230769</v>
      </c>
      <c r="U98" s="2" t="s">
        <v>657</v>
      </c>
      <c r="V98" s="2">
        <v>227</v>
      </c>
      <c r="W98" s="4">
        <v>-1.0266849706004111</v>
      </c>
      <c r="X98" s="4">
        <v>-1.0958996877195391</v>
      </c>
      <c r="Y98" s="4">
        <v>-1.374732551229205</v>
      </c>
      <c r="Z98" s="4">
        <v>-0.67765039245504122</v>
      </c>
      <c r="AA98" s="2">
        <v>-1.520550000000001</v>
      </c>
      <c r="AB98" s="2">
        <v>-0.73327585483987168</v>
      </c>
    </row>
    <row r="99" spans="1:28" x14ac:dyDescent="0.2">
      <c r="A99" s="2">
        <v>80313</v>
      </c>
      <c r="C99" s="2" t="s">
        <v>120</v>
      </c>
      <c r="D99" s="2" t="s">
        <v>45</v>
      </c>
      <c r="E99" s="2" t="s">
        <v>37</v>
      </c>
      <c r="F99" s="2">
        <v>98</v>
      </c>
      <c r="G99" s="2" t="str">
        <f>IFERROR(VLOOKUP(F99,Picks!$A$2:$B$231,2,0),"")</f>
        <v>Fellipe</v>
      </c>
      <c r="H99" s="2">
        <v>21</v>
      </c>
      <c r="I99" s="4">
        <v>0.55263157894736847</v>
      </c>
      <c r="J99" s="4">
        <v>4.41</v>
      </c>
      <c r="K99" s="4">
        <v>2.4371052631578949</v>
      </c>
      <c r="L99" s="4">
        <v>1.032341866694231</v>
      </c>
      <c r="M99" s="2" t="s">
        <v>621</v>
      </c>
      <c r="N99" s="2">
        <v>30</v>
      </c>
      <c r="O99" s="4">
        <v>-1.9956941953540499</v>
      </c>
      <c r="P99" s="4">
        <v>-2.305057125332945</v>
      </c>
      <c r="Q99" s="4">
        <v>-2.166877077282618</v>
      </c>
      <c r="R99" s="4">
        <v>-2.5123271974084349</v>
      </c>
      <c r="S99" s="2">
        <v>-1.9275</v>
      </c>
      <c r="T99" s="2">
        <v>-2.2884878542510121</v>
      </c>
      <c r="U99" s="2" t="s">
        <v>621</v>
      </c>
      <c r="V99" s="2">
        <v>150</v>
      </c>
      <c r="W99" s="4">
        <v>-0.53910279735242117</v>
      </c>
      <c r="X99" s="4">
        <v>-0.62267192399367788</v>
      </c>
      <c r="Y99" s="4">
        <v>-0.44350731840813329</v>
      </c>
      <c r="Z99" s="4">
        <v>-0.89141883237199471</v>
      </c>
      <c r="AA99" s="2">
        <v>-0.49055000000000071</v>
      </c>
      <c r="AB99" s="2">
        <v>-0.96459164431355582</v>
      </c>
    </row>
    <row r="100" spans="1:28" x14ac:dyDescent="0.2">
      <c r="A100" s="2">
        <v>105175</v>
      </c>
      <c r="C100" s="2" t="s">
        <v>348</v>
      </c>
      <c r="D100" s="2" t="s">
        <v>65</v>
      </c>
      <c r="E100" s="2" t="s">
        <v>37</v>
      </c>
      <c r="F100" s="11">
        <v>99</v>
      </c>
      <c r="G100" s="2" t="str">
        <f>IFERROR(VLOOKUP(F100,Picks!$A$2:$B$231,2,0),"")</f>
        <v>Vidal</v>
      </c>
      <c r="H100" s="2">
        <v>11</v>
      </c>
      <c r="I100" s="4">
        <v>0.52380952380952384</v>
      </c>
      <c r="J100" s="4">
        <v>5.65</v>
      </c>
      <c r="K100" s="4">
        <v>2.9595238095238101</v>
      </c>
      <c r="L100" s="4">
        <v>1.749170143375478</v>
      </c>
      <c r="M100" s="2" t="s">
        <v>619</v>
      </c>
      <c r="N100" s="2">
        <v>17</v>
      </c>
      <c r="O100" s="4">
        <v>-1.062216600319672</v>
      </c>
      <c r="P100" s="4">
        <v>-1.239252700372951</v>
      </c>
      <c r="Q100" s="4">
        <v>-0.77288092899185468</v>
      </c>
      <c r="R100" s="4">
        <v>-1.9388103574445961</v>
      </c>
      <c r="S100" s="2">
        <v>-0.6875</v>
      </c>
      <c r="T100" s="2">
        <v>-1.7660693078850971</v>
      </c>
      <c r="U100" s="2" t="s">
        <v>620</v>
      </c>
      <c r="V100" s="2">
        <v>45</v>
      </c>
      <c r="W100" s="4">
        <v>0.20836755387987729</v>
      </c>
      <c r="X100" s="4">
        <v>0.24309547952652361</v>
      </c>
      <c r="Y100" s="4">
        <v>0.67757936964830245</v>
      </c>
      <c r="Z100" s="4">
        <v>-0.40863035565614481</v>
      </c>
      <c r="AA100" s="2">
        <v>0.74944999999999951</v>
      </c>
      <c r="AB100" s="2">
        <v>-0.44217309794764098</v>
      </c>
    </row>
    <row r="101" spans="1:28" x14ac:dyDescent="0.2">
      <c r="A101" s="2">
        <v>100898</v>
      </c>
      <c r="C101" s="2" t="s">
        <v>105</v>
      </c>
      <c r="D101" s="2" t="s">
        <v>61</v>
      </c>
      <c r="E101" s="2" t="s">
        <v>37</v>
      </c>
      <c r="F101" s="11">
        <v>100</v>
      </c>
      <c r="G101" s="2" t="str">
        <f>IFERROR(VLOOKUP(F101,Picks!$A$2:$B$231,2,0),"")</f>
        <v>Massa</v>
      </c>
      <c r="H101" s="2">
        <v>32</v>
      </c>
      <c r="I101" s="4">
        <v>0.84210526315789469</v>
      </c>
      <c r="J101" s="4">
        <v>5.49</v>
      </c>
      <c r="K101" s="4">
        <v>4.6231578947368419</v>
      </c>
      <c r="L101" s="4">
        <v>1.2187693172412279</v>
      </c>
      <c r="M101" s="2" t="s">
        <v>620</v>
      </c>
      <c r="N101" s="2">
        <v>8</v>
      </c>
      <c r="O101" s="4">
        <v>-0.58742373173273377</v>
      </c>
      <c r="P101" s="4">
        <v>-0.61663264657027306</v>
      </c>
      <c r="Q101" s="4">
        <v>-0.9527513997390501</v>
      </c>
      <c r="R101" s="4">
        <v>-0.11245451681710771</v>
      </c>
      <c r="S101" s="2">
        <v>-0.84750000000000014</v>
      </c>
      <c r="T101" s="2">
        <v>-0.1024352226720646</v>
      </c>
      <c r="U101" s="2" t="s">
        <v>631</v>
      </c>
      <c r="V101" s="2">
        <v>26</v>
      </c>
      <c r="W101" s="4">
        <v>0.73474069120723118</v>
      </c>
      <c r="X101" s="4">
        <v>0.77127475872582285</v>
      </c>
      <c r="Y101" s="4">
        <v>0.53292302280231063</v>
      </c>
      <c r="Z101" s="4">
        <v>1.128802362611091</v>
      </c>
      <c r="AA101" s="2">
        <v>0.58944999999999936</v>
      </c>
      <c r="AB101" s="2">
        <v>1.221460987265391</v>
      </c>
    </row>
    <row r="102" spans="1:28" x14ac:dyDescent="0.2">
      <c r="A102" s="2">
        <v>112886</v>
      </c>
      <c r="C102" s="2" t="s">
        <v>437</v>
      </c>
      <c r="D102" s="2" t="s">
        <v>77</v>
      </c>
      <c r="E102" s="2" t="s">
        <v>27</v>
      </c>
      <c r="F102" s="11">
        <v>101</v>
      </c>
      <c r="G102" s="2" t="str">
        <f>IFERROR(VLOOKUP(F102,Picks!$A$2:$B$231,2,0),"")</f>
        <v>Massa</v>
      </c>
      <c r="H102" s="2">
        <v>31</v>
      </c>
      <c r="I102" s="4">
        <v>0.81578947368421051</v>
      </c>
      <c r="J102" s="4">
        <v>4.8499999999999996</v>
      </c>
      <c r="K102" s="4">
        <v>3.956578947368421</v>
      </c>
      <c r="L102" s="4">
        <v>0.88783019822595277</v>
      </c>
      <c r="M102" s="2" t="s">
        <v>647</v>
      </c>
      <c r="N102" s="2">
        <v>17</v>
      </c>
      <c r="O102" s="4">
        <v>-0.4963766007445225</v>
      </c>
      <c r="P102" s="4">
        <v>-0.52541255789113805</v>
      </c>
      <c r="Q102" s="4">
        <v>-0.63110666557605821</v>
      </c>
      <c r="R102" s="4">
        <v>-0.36687139636375787</v>
      </c>
      <c r="S102" s="2">
        <v>-0.82133333333333347</v>
      </c>
      <c r="T102" s="2">
        <v>-0.40235356328623523</v>
      </c>
      <c r="U102" s="2" t="s">
        <v>647</v>
      </c>
      <c r="V102" s="2">
        <v>54</v>
      </c>
      <c r="W102" s="4">
        <v>0.16787436322391269</v>
      </c>
      <c r="X102" s="4">
        <v>0.17769431204759559</v>
      </c>
      <c r="Y102" s="4">
        <v>-4.5702364581656593E-2</v>
      </c>
      <c r="Z102" s="4">
        <v>0.51278932699147384</v>
      </c>
      <c r="AA102" s="2">
        <v>-5.0550000000001212E-2</v>
      </c>
      <c r="AB102" s="2">
        <v>0.55488203989696983</v>
      </c>
    </row>
    <row r="103" spans="1:28" x14ac:dyDescent="0.2">
      <c r="A103" s="2">
        <v>116706</v>
      </c>
      <c r="C103" s="2" t="s">
        <v>464</v>
      </c>
      <c r="D103" s="2" t="s">
        <v>67</v>
      </c>
      <c r="E103" s="2" t="s">
        <v>27</v>
      </c>
      <c r="F103" s="2">
        <v>102</v>
      </c>
      <c r="G103" s="2" t="str">
        <f>IFERROR(VLOOKUP(F103,Picks!$A$2:$B$231,2,0),"")</f>
        <v>Vidal</v>
      </c>
      <c r="H103" s="2">
        <v>15</v>
      </c>
      <c r="I103" s="4">
        <v>0.78947368421052633</v>
      </c>
      <c r="J103" s="4">
        <v>4.42</v>
      </c>
      <c r="K103" s="4">
        <v>3.4894736842105258</v>
      </c>
      <c r="L103" s="4">
        <v>1.06730134626669</v>
      </c>
      <c r="M103" s="2" t="s">
        <v>649</v>
      </c>
      <c r="N103" s="2">
        <v>25</v>
      </c>
      <c r="O103" s="4">
        <v>-0.83755844750677011</v>
      </c>
      <c r="P103" s="4">
        <v>-0.8940230619454288</v>
      </c>
      <c r="Q103" s="4">
        <v>-0.9615155935765104</v>
      </c>
      <c r="R103" s="4">
        <v>-0.79278426449880657</v>
      </c>
      <c r="S103" s="2">
        <v>-1.251333333333333</v>
      </c>
      <c r="T103" s="2">
        <v>-0.86945882644412942</v>
      </c>
      <c r="U103" s="2" t="s">
        <v>649</v>
      </c>
      <c r="V103" s="2">
        <v>71</v>
      </c>
      <c r="W103" s="4">
        <v>-0.21381783962765361</v>
      </c>
      <c r="X103" s="4">
        <v>-0.22823252544524819</v>
      </c>
      <c r="Y103" s="4">
        <v>-0.43446629673025899</v>
      </c>
      <c r="Z103" s="4">
        <v>8.1118131482267902E-2</v>
      </c>
      <c r="AA103" s="2">
        <v>-0.48055000000000092</v>
      </c>
      <c r="AB103" s="2">
        <v>8.7776776739075579E-2</v>
      </c>
    </row>
    <row r="104" spans="1:28" x14ac:dyDescent="0.2">
      <c r="A104" s="2">
        <v>95466</v>
      </c>
      <c r="C104" s="2" t="s">
        <v>234</v>
      </c>
      <c r="D104" s="2" t="s">
        <v>50</v>
      </c>
      <c r="E104" s="2" t="s">
        <v>37</v>
      </c>
      <c r="F104" s="2">
        <v>103</v>
      </c>
      <c r="G104" s="2" t="str">
        <f>IFERROR(VLOOKUP(F104,Picks!$A$2:$B$231,2,0),"")</f>
        <v>Fellipe</v>
      </c>
      <c r="H104" s="2">
        <v>22</v>
      </c>
      <c r="I104" s="4">
        <v>0.57894736842105265</v>
      </c>
      <c r="J104" s="4">
        <v>4.68</v>
      </c>
      <c r="K104" s="4">
        <v>2.709473684210526</v>
      </c>
      <c r="L104" s="4">
        <v>1.167140583145422</v>
      </c>
      <c r="M104" s="2" t="s">
        <v>653</v>
      </c>
      <c r="N104" s="2">
        <v>27</v>
      </c>
      <c r="O104" s="4">
        <v>-1.750281853401308</v>
      </c>
      <c r="P104" s="4">
        <v>-2.0033346514834238</v>
      </c>
      <c r="Q104" s="4">
        <v>-1.8633456578967269</v>
      </c>
      <c r="R104" s="4">
        <v>-2.21331814186347</v>
      </c>
      <c r="S104" s="2">
        <v>-1.6575000000000011</v>
      </c>
      <c r="T104" s="2">
        <v>-2.0161194331983801</v>
      </c>
      <c r="U104" s="2" t="s">
        <v>648</v>
      </c>
      <c r="V104" s="2">
        <v>114</v>
      </c>
      <c r="W104" s="4">
        <v>-0.32808993672027859</v>
      </c>
      <c r="X104" s="4">
        <v>-0.3755246263665839</v>
      </c>
      <c r="Y104" s="4">
        <v>-0.1993997331055227</v>
      </c>
      <c r="Z104" s="4">
        <v>-0.63971196625817572</v>
      </c>
      <c r="AA104" s="2">
        <v>-0.22055000000000111</v>
      </c>
      <c r="AB104" s="2">
        <v>-0.69222322326092423</v>
      </c>
    </row>
    <row r="105" spans="1:28" x14ac:dyDescent="0.2">
      <c r="A105" s="2">
        <v>68806</v>
      </c>
      <c r="C105" s="2" t="s">
        <v>60</v>
      </c>
      <c r="D105" s="2" t="s">
        <v>61</v>
      </c>
      <c r="E105" s="2" t="s">
        <v>24</v>
      </c>
      <c r="F105" s="2">
        <v>104</v>
      </c>
      <c r="G105" s="2" t="str">
        <f>IFERROR(VLOOKUP(F105,Picks!$A$2:$B$231,2,0),"")</f>
        <v>Carlos</v>
      </c>
      <c r="I105" s="4"/>
      <c r="J105" s="4"/>
      <c r="K105" s="4"/>
      <c r="L105" s="4"/>
      <c r="M105" s="2" t="s">
        <v>621</v>
      </c>
      <c r="N105" s="2">
        <v>16</v>
      </c>
      <c r="O105" s="4"/>
      <c r="P105" s="4"/>
      <c r="Q105" s="4"/>
      <c r="R105" s="4"/>
      <c r="U105" s="2" t="s">
        <v>655</v>
      </c>
      <c r="V105" s="2">
        <v>194</v>
      </c>
      <c r="W105" s="4"/>
      <c r="X105" s="4"/>
      <c r="Y105" s="4"/>
      <c r="Z105" s="4"/>
    </row>
    <row r="106" spans="1:28" x14ac:dyDescent="0.2">
      <c r="A106" s="2">
        <v>105990</v>
      </c>
      <c r="C106" s="2" t="s">
        <v>363</v>
      </c>
      <c r="D106" s="2" t="s">
        <v>45</v>
      </c>
      <c r="E106" s="2" t="s">
        <v>53</v>
      </c>
      <c r="F106" s="2">
        <v>105</v>
      </c>
      <c r="G106" s="2" t="str">
        <f>IFERROR(VLOOKUP(F106,Picks!$A$2:$B$231,2,0),"")</f>
        <v>Fernando</v>
      </c>
      <c r="H106" s="2">
        <v>31</v>
      </c>
      <c r="I106" s="4">
        <v>0.81578947368421051</v>
      </c>
      <c r="J106" s="4">
        <v>2.95</v>
      </c>
      <c r="K106" s="4">
        <v>2.4065789473684212</v>
      </c>
      <c r="L106" s="4">
        <v>0.80743152121460093</v>
      </c>
      <c r="M106" s="2" t="s">
        <v>657</v>
      </c>
      <c r="N106" s="2">
        <v>43</v>
      </c>
      <c r="O106" s="4">
        <v>-3.341904919685589</v>
      </c>
      <c r="P106" s="4">
        <v>-3.5373923940961669</v>
      </c>
      <c r="Q106" s="4">
        <v>-4.8057343794795653</v>
      </c>
      <c r="R106" s="4">
        <v>-1.63487941602107</v>
      </c>
      <c r="S106" s="2">
        <v>-1.9069999999999989</v>
      </c>
      <c r="T106" s="2">
        <v>-0.90702621700648001</v>
      </c>
      <c r="U106" s="2" t="s">
        <v>657</v>
      </c>
      <c r="V106" s="2">
        <v>233</v>
      </c>
      <c r="W106" s="4">
        <v>-1.347147190899727</v>
      </c>
      <c r="X106" s="4">
        <v>-1.425949672818652</v>
      </c>
      <c r="Y106" s="4">
        <v>-1.7634964833778071</v>
      </c>
      <c r="Z106" s="4">
        <v>-0.91962945697992027</v>
      </c>
      <c r="AA106" s="2">
        <v>-1.9505500000000009</v>
      </c>
      <c r="AB106" s="2">
        <v>-0.99511796010302955</v>
      </c>
    </row>
    <row r="107" spans="1:28" x14ac:dyDescent="0.2">
      <c r="A107" s="2">
        <v>102256</v>
      </c>
      <c r="C107" s="2" t="s">
        <v>311</v>
      </c>
      <c r="D107" s="2" t="s">
        <v>50</v>
      </c>
      <c r="E107" s="2" t="s">
        <v>29</v>
      </c>
      <c r="F107" s="2">
        <v>106</v>
      </c>
      <c r="G107" s="2" t="str">
        <f>IFERROR(VLOOKUP(F107,Picks!$A$2:$B$231,2,0),"")</f>
        <v>Rodolfo</v>
      </c>
      <c r="H107" s="2">
        <v>35</v>
      </c>
      <c r="I107" s="4">
        <v>0.92105263157894735</v>
      </c>
      <c r="J107" s="4">
        <v>2.76</v>
      </c>
      <c r="K107" s="4">
        <v>2.542105263157894</v>
      </c>
      <c r="L107" s="4">
        <v>0.77689482949908883</v>
      </c>
      <c r="M107" s="2" t="s">
        <v>653</v>
      </c>
      <c r="N107" s="2">
        <v>54</v>
      </c>
      <c r="O107" s="4">
        <v>-1.355099518292632</v>
      </c>
      <c r="P107" s="4">
        <v>-1.3879725524291111</v>
      </c>
      <c r="Q107" s="4">
        <v>-1.700864948451466</v>
      </c>
      <c r="R107" s="4">
        <v>-0.91863395839557882</v>
      </c>
      <c r="S107" s="2">
        <v>-2.1173333333333342</v>
      </c>
      <c r="T107" s="2">
        <v>-1.055514941929989</v>
      </c>
      <c r="U107" s="2" t="s">
        <v>621</v>
      </c>
      <c r="V107" s="2">
        <v>186</v>
      </c>
      <c r="W107" s="4">
        <v>-1.44389210945846</v>
      </c>
      <c r="X107" s="4">
        <v>-1.478919141763382</v>
      </c>
      <c r="Y107" s="4">
        <v>-1.9352758952574229</v>
      </c>
      <c r="Z107" s="4">
        <v>-0.79438401152231997</v>
      </c>
      <c r="AA107" s="2">
        <v>-2.1405500000000011</v>
      </c>
      <c r="AB107" s="2">
        <v>-0.85959164431355628</v>
      </c>
    </row>
    <row r="108" spans="1:28" x14ac:dyDescent="0.2">
      <c r="A108" s="2">
        <v>93790</v>
      </c>
      <c r="C108" s="2" t="s">
        <v>224</v>
      </c>
      <c r="D108" s="2" t="s">
        <v>65</v>
      </c>
      <c r="E108" s="2" t="s">
        <v>29</v>
      </c>
      <c r="F108" s="2">
        <v>107</v>
      </c>
      <c r="G108" s="2" t="str">
        <f>IFERROR(VLOOKUP(F108,Picks!$A$2:$B$231,2,0),"")</f>
        <v>Petindá</v>
      </c>
      <c r="H108" s="2">
        <v>31</v>
      </c>
      <c r="I108" s="4">
        <v>0.81578947368421051</v>
      </c>
      <c r="J108" s="4">
        <v>1.92</v>
      </c>
      <c r="K108" s="4">
        <v>1.5663157894736841</v>
      </c>
      <c r="L108" s="4">
        <v>0.82195063413213165</v>
      </c>
      <c r="M108" s="2" t="s">
        <v>623</v>
      </c>
      <c r="N108" s="2">
        <v>87</v>
      </c>
      <c r="O108" s="4">
        <v>-2.014686611530029</v>
      </c>
      <c r="P108" s="4">
        <v>-2.132537360393902</v>
      </c>
      <c r="Q108" s="4">
        <v>-2.3756413448774252</v>
      </c>
      <c r="R108" s="4">
        <v>-1.767881383668618</v>
      </c>
      <c r="S108" s="2">
        <v>-2.957333333333334</v>
      </c>
      <c r="T108" s="2">
        <v>-2.0313044156141991</v>
      </c>
      <c r="U108" s="2" t="s">
        <v>657</v>
      </c>
      <c r="V108" s="2">
        <v>250</v>
      </c>
      <c r="W108" s="4">
        <v>-2.1684483491878059</v>
      </c>
      <c r="X108" s="4">
        <v>-2.2952935172461451</v>
      </c>
      <c r="Y108" s="4">
        <v>-2.6947217161988788</v>
      </c>
      <c r="Z108" s="4">
        <v>-1.6961512188170449</v>
      </c>
      <c r="AA108" s="2">
        <v>-2.9805500000000009</v>
      </c>
      <c r="AB108" s="2">
        <v>-1.835381117997767</v>
      </c>
    </row>
    <row r="109" spans="1:28" x14ac:dyDescent="0.2">
      <c r="A109" s="2">
        <v>88312</v>
      </c>
      <c r="C109" s="2" t="s">
        <v>176</v>
      </c>
      <c r="D109" s="2" t="s">
        <v>26</v>
      </c>
      <c r="E109" s="2" t="s">
        <v>53</v>
      </c>
      <c r="F109" s="11">
        <v>108</v>
      </c>
      <c r="G109" s="2" t="str">
        <f>IFERROR(VLOOKUP(F109,Picks!$A$2:$B$231,2,0),"")</f>
        <v>Fochesato</v>
      </c>
      <c r="H109" s="2">
        <v>28</v>
      </c>
      <c r="I109" s="4">
        <v>0.73684210526315785</v>
      </c>
      <c r="J109" s="4">
        <v>4.12</v>
      </c>
      <c r="K109" s="4">
        <v>3.0357894736842099</v>
      </c>
      <c r="L109" s="4">
        <v>0.75350598272531655</v>
      </c>
      <c r="M109" s="2" t="s">
        <v>619</v>
      </c>
      <c r="N109" s="2">
        <v>14</v>
      </c>
      <c r="O109" s="4">
        <v>-1.2108771943657219</v>
      </c>
      <c r="P109" s="4">
        <v>-1.314666668168498</v>
      </c>
      <c r="Q109" s="4">
        <v>-1.857276474922096</v>
      </c>
      <c r="R109" s="4">
        <v>-0.50075195803810157</v>
      </c>
      <c r="S109" s="2">
        <v>-0.73699999999999921</v>
      </c>
      <c r="T109" s="2">
        <v>-0.27781569069069079</v>
      </c>
      <c r="U109" s="2" t="s">
        <v>653</v>
      </c>
      <c r="V109" s="2">
        <v>124</v>
      </c>
      <c r="W109" s="4">
        <v>-0.51457204016870839</v>
      </c>
      <c r="X109" s="4">
        <v>-0.55867821504031201</v>
      </c>
      <c r="Y109" s="4">
        <v>-0.70569694706649322</v>
      </c>
      <c r="Z109" s="4">
        <v>-0.33815011700104031</v>
      </c>
      <c r="AA109" s="2">
        <v>-0.78055000000000074</v>
      </c>
      <c r="AB109" s="2">
        <v>-0.36590743378724028</v>
      </c>
    </row>
    <row r="110" spans="1:28" x14ac:dyDescent="0.2">
      <c r="A110" s="2">
        <v>105531</v>
      </c>
      <c r="C110" s="2" t="s">
        <v>354</v>
      </c>
      <c r="D110" s="2" t="s">
        <v>99</v>
      </c>
      <c r="E110" s="2" t="s">
        <v>37</v>
      </c>
      <c r="F110" s="11">
        <v>109</v>
      </c>
      <c r="G110" s="2" t="str">
        <f>IFERROR(VLOOKUP(F110,Picks!$A$2:$B$231,2,0),"")</f>
        <v>Anuda</v>
      </c>
      <c r="H110" s="2">
        <v>26</v>
      </c>
      <c r="I110" s="4">
        <v>0.68421052631578949</v>
      </c>
      <c r="J110" s="4">
        <v>5.45</v>
      </c>
      <c r="K110" s="4">
        <v>3.728947368421053</v>
      </c>
      <c r="L110" s="4">
        <v>1.2671260085245559</v>
      </c>
      <c r="M110" s="2" t="s">
        <v>619</v>
      </c>
      <c r="N110" s="2">
        <v>16</v>
      </c>
      <c r="O110" s="4">
        <v>-0.93810871878890201</v>
      </c>
      <c r="P110" s="4">
        <v>-1.036282887034252</v>
      </c>
      <c r="Q110" s="4">
        <v>-0.99771901742584901</v>
      </c>
      <c r="R110" s="4">
        <v>-1.0941286914468571</v>
      </c>
      <c r="S110" s="2">
        <v>-0.88750000000000018</v>
      </c>
      <c r="T110" s="2">
        <v>-0.99664574898785352</v>
      </c>
      <c r="U110" s="2" t="s">
        <v>620</v>
      </c>
      <c r="V110" s="2">
        <v>42</v>
      </c>
      <c r="W110" s="4">
        <v>0.37932844577663483</v>
      </c>
      <c r="X110" s="4">
        <v>0.41902560870674771</v>
      </c>
      <c r="Y110" s="4">
        <v>0.49675893609081267</v>
      </c>
      <c r="Z110" s="4">
        <v>0.30242561763065012</v>
      </c>
      <c r="AA110" s="2">
        <v>0.54944999999999933</v>
      </c>
      <c r="AB110" s="2">
        <v>0.32725046094960231</v>
      </c>
    </row>
    <row r="111" spans="1:28" x14ac:dyDescent="0.2">
      <c r="A111" s="2">
        <v>104994</v>
      </c>
      <c r="C111" s="2" t="s">
        <v>344</v>
      </c>
      <c r="D111" s="2" t="s">
        <v>31</v>
      </c>
      <c r="E111" s="2" t="s">
        <v>53</v>
      </c>
      <c r="F111" s="2">
        <v>110</v>
      </c>
      <c r="G111" s="2" t="str">
        <f>IFERROR(VLOOKUP(F111,Picks!$A$2:$B$231,2,0),"")</f>
        <v>Sousa</v>
      </c>
      <c r="H111" s="2">
        <v>27</v>
      </c>
      <c r="I111" s="4">
        <v>0.71052631578947367</v>
      </c>
      <c r="J111" s="4">
        <v>3.19</v>
      </c>
      <c r="K111" s="4">
        <v>2.266578947368421</v>
      </c>
      <c r="L111" s="4">
        <v>0.63899375243207668</v>
      </c>
      <c r="M111" s="2" t="s">
        <v>621</v>
      </c>
      <c r="N111" s="2">
        <v>32</v>
      </c>
      <c r="O111" s="4">
        <v>-2.9909967122615448</v>
      </c>
      <c r="P111" s="4">
        <v>-3.275443085473738</v>
      </c>
      <c r="Q111" s="4">
        <v>-4.2009225016216227</v>
      </c>
      <c r="R111" s="4">
        <v>-1.8872239612519111</v>
      </c>
      <c r="S111" s="2">
        <v>-1.6669999999999989</v>
      </c>
      <c r="T111" s="2">
        <v>-1.0470262170064799</v>
      </c>
      <c r="U111" s="2" t="s">
        <v>655</v>
      </c>
      <c r="V111" s="2">
        <v>206</v>
      </c>
      <c r="W111" s="4">
        <v>-1.230490184719252</v>
      </c>
      <c r="X111" s="4">
        <v>-1.34751086511042</v>
      </c>
      <c r="Y111" s="4">
        <v>-1.54651196310882</v>
      </c>
      <c r="Z111" s="4">
        <v>-1.049009218112821</v>
      </c>
      <c r="AA111" s="2">
        <v>-1.7105500000000009</v>
      </c>
      <c r="AB111" s="2">
        <v>-1.1351179601030299</v>
      </c>
    </row>
    <row r="112" spans="1:28" x14ac:dyDescent="0.2">
      <c r="A112" s="2">
        <v>88393</v>
      </c>
      <c r="C112" s="2" t="s">
        <v>177</v>
      </c>
      <c r="D112" s="2" t="s">
        <v>47</v>
      </c>
      <c r="E112" s="2" t="s">
        <v>37</v>
      </c>
      <c r="F112" s="2">
        <v>111</v>
      </c>
      <c r="G112" s="2" t="str">
        <f>IFERROR(VLOOKUP(F112,Picks!$A$2:$B$231,2,0),"")</f>
        <v>Sousa</v>
      </c>
      <c r="H112" s="2">
        <v>16</v>
      </c>
      <c r="I112" s="4">
        <v>0.42105263157894729</v>
      </c>
      <c r="J112" s="4">
        <v>4.47</v>
      </c>
      <c r="K112" s="4">
        <v>1.8821052631578949</v>
      </c>
      <c r="L112" s="4">
        <v>2.022252803468938</v>
      </c>
      <c r="M112" s="2" t="s">
        <v>621</v>
      </c>
      <c r="N112" s="2">
        <v>33</v>
      </c>
      <c r="O112" s="4">
        <v>-2.0726481566845978</v>
      </c>
      <c r="P112" s="4">
        <v>-2.5083003170068392</v>
      </c>
      <c r="Q112" s="4">
        <v>-2.09942565075242</v>
      </c>
      <c r="R112" s="4">
        <v>-3.1216123163884659</v>
      </c>
      <c r="S112" s="2">
        <v>-1.867500000000001</v>
      </c>
      <c r="T112" s="2">
        <v>-2.8434878542510118</v>
      </c>
      <c r="U112" s="2" t="s">
        <v>621</v>
      </c>
      <c r="V112" s="2">
        <v>159</v>
      </c>
      <c r="W112" s="4">
        <v>-0.65715538047294364</v>
      </c>
      <c r="X112" s="4">
        <v>-0.79528358146407185</v>
      </c>
      <c r="Y112" s="4">
        <v>-0.38926118834088669</v>
      </c>
      <c r="Z112" s="4">
        <v>-1.4043171711488489</v>
      </c>
      <c r="AA112" s="2">
        <v>-0.4305500000000011</v>
      </c>
      <c r="AB112" s="2">
        <v>-1.519591644313556</v>
      </c>
    </row>
    <row r="113" spans="1:28" x14ac:dyDescent="0.2">
      <c r="A113" s="2">
        <v>69783</v>
      </c>
      <c r="C113" s="2" t="s">
        <v>74</v>
      </c>
      <c r="D113" s="2" t="s">
        <v>47</v>
      </c>
      <c r="E113" s="2" t="s">
        <v>53</v>
      </c>
      <c r="F113" s="2">
        <v>112</v>
      </c>
      <c r="G113" s="2" t="str">
        <f>IFERROR(VLOOKUP(F113,Picks!$A$2:$B$231,2,0),"")</f>
        <v>Anuda</v>
      </c>
      <c r="H113" s="2">
        <v>19</v>
      </c>
      <c r="I113" s="4">
        <v>0.5</v>
      </c>
      <c r="J113" s="4">
        <v>3.61</v>
      </c>
      <c r="K113" s="4">
        <v>1.8049999999999999</v>
      </c>
      <c r="L113" s="4">
        <v>4.758643733767193</v>
      </c>
      <c r="M113" s="2" t="s">
        <v>621</v>
      </c>
      <c r="N113" s="2">
        <v>28</v>
      </c>
      <c r="O113" s="4">
        <v>-2.5272045648860129</v>
      </c>
      <c r="P113" s="4">
        <v>-2.973181841042368</v>
      </c>
      <c r="Q113" s="4">
        <v>-3.1425017153702242</v>
      </c>
      <c r="R113" s="4">
        <v>-2.7192020295505852</v>
      </c>
      <c r="S113" s="2">
        <v>-1.246999999999999</v>
      </c>
      <c r="T113" s="2">
        <v>-1.508605164374901</v>
      </c>
      <c r="U113" s="2" t="s">
        <v>655</v>
      </c>
      <c r="V113" s="2">
        <v>199</v>
      </c>
      <c r="W113" s="4">
        <v>-1.0967573448932899</v>
      </c>
      <c r="X113" s="4">
        <v>-1.2903027586979881</v>
      </c>
      <c r="Y113" s="4">
        <v>-1.166789052638092</v>
      </c>
      <c r="Z113" s="4">
        <v>-1.4755733177878341</v>
      </c>
      <c r="AA113" s="2">
        <v>-1.290550000000001</v>
      </c>
      <c r="AB113" s="2">
        <v>-1.596696907471451</v>
      </c>
    </row>
    <row r="114" spans="1:28" x14ac:dyDescent="0.2">
      <c r="A114" s="2">
        <v>89840</v>
      </c>
      <c r="C114" s="2" t="s">
        <v>186</v>
      </c>
      <c r="D114" s="2" t="s">
        <v>52</v>
      </c>
      <c r="E114" s="2" t="s">
        <v>27</v>
      </c>
      <c r="F114" s="11">
        <v>113</v>
      </c>
      <c r="G114" s="2" t="str">
        <f>IFERROR(VLOOKUP(F114,Picks!$A$2:$B$231,2,0),"")</f>
        <v>Fochesato</v>
      </c>
      <c r="I114" s="4"/>
      <c r="J114" s="4"/>
      <c r="K114" s="4"/>
      <c r="L114" s="4"/>
      <c r="M114" s="2" t="s">
        <v>619</v>
      </c>
      <c r="N114" s="2">
        <v>33</v>
      </c>
      <c r="O114" s="4"/>
      <c r="P114" s="4"/>
      <c r="Q114" s="4"/>
      <c r="R114" s="4"/>
      <c r="U114" s="2" t="s">
        <v>649</v>
      </c>
      <c r="V114" s="2">
        <v>68</v>
      </c>
      <c r="W114" s="4"/>
      <c r="X114" s="4"/>
      <c r="Y114" s="4"/>
      <c r="Z114" s="4"/>
    </row>
    <row r="115" spans="1:28" x14ac:dyDescent="0.2">
      <c r="A115" s="2">
        <v>85403</v>
      </c>
      <c r="C115" s="2" t="s">
        <v>153</v>
      </c>
      <c r="D115" s="2" t="s">
        <v>52</v>
      </c>
      <c r="E115" s="2" t="s">
        <v>29</v>
      </c>
      <c r="F115" s="2">
        <v>114</v>
      </c>
      <c r="G115" s="2" t="str">
        <f>IFERROR(VLOOKUP(F115,Picks!$A$2:$B$231,2,0),"")</f>
        <v>Petindá</v>
      </c>
      <c r="H115" s="2">
        <v>34</v>
      </c>
      <c r="I115" s="4">
        <v>0.89473684210526316</v>
      </c>
      <c r="J115" s="4">
        <v>2.92</v>
      </c>
      <c r="K115" s="4">
        <v>2.6126315789473682</v>
      </c>
      <c r="L115" s="4">
        <v>0.9068520967954502</v>
      </c>
      <c r="M115" s="2" t="s">
        <v>648</v>
      </c>
      <c r="N115" s="2">
        <v>45</v>
      </c>
      <c r="O115" s="4">
        <v>-1.2456830146775431</v>
      </c>
      <c r="P115" s="4">
        <v>-1.2863031129822451</v>
      </c>
      <c r="Q115" s="4">
        <v>-1.572336111036998</v>
      </c>
      <c r="R115" s="4">
        <v>-0.85725361590011639</v>
      </c>
      <c r="S115" s="2">
        <v>-1.957333333333334</v>
      </c>
      <c r="T115" s="2">
        <v>-0.98498862614051497</v>
      </c>
      <c r="U115" s="2" t="s">
        <v>621</v>
      </c>
      <c r="V115" s="2">
        <v>179</v>
      </c>
      <c r="W115" s="4">
        <v>-1.3229162519638249</v>
      </c>
      <c r="X115" s="4">
        <v>-1.3660548253974281</v>
      </c>
      <c r="Y115" s="4">
        <v>-1.7906195484114309</v>
      </c>
      <c r="Z115" s="4">
        <v>-0.72920774087642282</v>
      </c>
      <c r="AA115" s="2">
        <v>-1.9805500000000009</v>
      </c>
      <c r="AB115" s="2">
        <v>-0.78906532852408251</v>
      </c>
    </row>
    <row r="116" spans="1:28" x14ac:dyDescent="0.2">
      <c r="A116" s="2">
        <v>93988</v>
      </c>
      <c r="C116" s="2" t="s">
        <v>654</v>
      </c>
      <c r="D116" s="2" t="s">
        <v>39</v>
      </c>
      <c r="E116" s="2" t="s">
        <v>27</v>
      </c>
      <c r="F116" s="2">
        <v>115</v>
      </c>
      <c r="G116" s="2" t="str">
        <f>IFERROR(VLOOKUP(F116,Picks!$A$2:$B$231,2,0),"")</f>
        <v>Rodolfo</v>
      </c>
      <c r="M116" s="2" t="s">
        <v>648</v>
      </c>
      <c r="N116" s="2">
        <v>39</v>
      </c>
      <c r="U116" s="2" t="s">
        <v>619</v>
      </c>
      <c r="V116" s="2">
        <v>94</v>
      </c>
    </row>
    <row r="117" spans="1:28" x14ac:dyDescent="0.2">
      <c r="A117" s="2">
        <v>99818</v>
      </c>
      <c r="C117" s="2" t="s">
        <v>284</v>
      </c>
      <c r="D117" s="2" t="s">
        <v>65</v>
      </c>
      <c r="E117" s="2" t="s">
        <v>27</v>
      </c>
      <c r="F117" s="2">
        <v>116</v>
      </c>
      <c r="G117" s="2" t="str">
        <f>IFERROR(VLOOKUP(F117,Picks!$A$2:$B$231,2,0),"")</f>
        <v>Fernando</v>
      </c>
      <c r="I117" s="4"/>
      <c r="J117" s="4"/>
      <c r="K117" s="4"/>
      <c r="L117" s="4"/>
      <c r="M117" s="2" t="s">
        <v>649</v>
      </c>
      <c r="N117" s="2">
        <v>21</v>
      </c>
      <c r="O117" s="4"/>
      <c r="P117" s="4"/>
      <c r="Q117" s="4"/>
      <c r="R117" s="4"/>
      <c r="U117" s="2" t="s">
        <v>647</v>
      </c>
      <c r="V117" s="2">
        <v>60</v>
      </c>
      <c r="W117" s="4"/>
      <c r="X117" s="4"/>
      <c r="Y117" s="4"/>
      <c r="Z117" s="4"/>
    </row>
    <row r="118" spans="1:28" x14ac:dyDescent="0.2">
      <c r="A118" s="2">
        <v>104502</v>
      </c>
      <c r="C118" s="2" t="s">
        <v>337</v>
      </c>
      <c r="D118" s="2" t="s">
        <v>35</v>
      </c>
      <c r="E118" s="2" t="s">
        <v>29</v>
      </c>
      <c r="F118" s="11">
        <v>117</v>
      </c>
      <c r="G118" s="2" t="str">
        <f>IFERROR(VLOOKUP(F118,Picks!$A$2:$B$231,2,0),"")</f>
        <v>Carlos</v>
      </c>
      <c r="H118" s="2">
        <v>30</v>
      </c>
      <c r="I118" s="4">
        <v>0.78947368421052633</v>
      </c>
      <c r="J118" s="4">
        <v>4.0599999999999996</v>
      </c>
      <c r="K118" s="4">
        <v>3.2052631578947359</v>
      </c>
      <c r="L118" s="4">
        <v>1.109273627237819</v>
      </c>
      <c r="M118" s="2" t="s">
        <v>620</v>
      </c>
      <c r="N118" s="2">
        <v>12</v>
      </c>
      <c r="O118" s="4">
        <v>-0.49702386540801141</v>
      </c>
      <c r="P118" s="4">
        <v>-0.53053109228945039</v>
      </c>
      <c r="Q118" s="4">
        <v>-0.6565681444589101</v>
      </c>
      <c r="R118" s="4">
        <v>-0.34147551403526077</v>
      </c>
      <c r="S118" s="2">
        <v>-0.81733333333333391</v>
      </c>
      <c r="T118" s="2">
        <v>-0.39235704719314679</v>
      </c>
      <c r="U118" s="2" t="s">
        <v>649</v>
      </c>
      <c r="V118" s="2">
        <v>81</v>
      </c>
      <c r="W118" s="4">
        <v>-0.49519492342591598</v>
      </c>
      <c r="X118" s="4">
        <v>-0.5285788508478878</v>
      </c>
      <c r="Y118" s="4">
        <v>-0.75994307713374054</v>
      </c>
      <c r="Z118" s="4">
        <v>-0.18153251141910881</v>
      </c>
      <c r="AA118" s="2">
        <v>-0.84055000000000124</v>
      </c>
      <c r="AB118" s="2">
        <v>-0.19643374957671431</v>
      </c>
    </row>
    <row r="119" spans="1:28" x14ac:dyDescent="0.2">
      <c r="A119" s="2">
        <v>103056</v>
      </c>
      <c r="C119" s="2" t="s">
        <v>323</v>
      </c>
      <c r="D119" s="2" t="s">
        <v>50</v>
      </c>
      <c r="E119" s="2" t="s">
        <v>24</v>
      </c>
      <c r="F119" s="11">
        <v>118</v>
      </c>
      <c r="G119" s="2" t="str">
        <f>IFERROR(VLOOKUP(F119,Picks!$A$2:$B$231,2,0),"")</f>
        <v>Fellipe</v>
      </c>
      <c r="H119" s="2">
        <v>37</v>
      </c>
      <c r="I119" s="4">
        <v>0.97368421052631582</v>
      </c>
      <c r="J119" s="4">
        <v>4.29</v>
      </c>
      <c r="K119" s="4">
        <v>4.1771052631578947</v>
      </c>
      <c r="L119" s="4">
        <v>1.2279599765974369</v>
      </c>
      <c r="M119" s="2" t="s">
        <v>648</v>
      </c>
      <c r="N119" s="2">
        <v>11</v>
      </c>
      <c r="O119" s="4">
        <v>-0.58310066227112811</v>
      </c>
      <c r="P119" s="4">
        <v>-0.587740720591588</v>
      </c>
      <c r="Q119" s="4">
        <v>-0.99402344834527978</v>
      </c>
      <c r="R119" s="4">
        <v>2.16833710389496E-2</v>
      </c>
      <c r="S119" s="2">
        <v>-1.250999999999999</v>
      </c>
      <c r="T119" s="2">
        <v>1.546514935988608E-2</v>
      </c>
      <c r="U119" s="2" t="s">
        <v>648</v>
      </c>
      <c r="V119" s="2">
        <v>107</v>
      </c>
      <c r="W119" s="4">
        <v>-4.4213209758299399E-2</v>
      </c>
      <c r="X119" s="4">
        <v>-4.4565039013670482E-2</v>
      </c>
      <c r="Y119" s="4">
        <v>-0.55199957854262716</v>
      </c>
      <c r="Z119" s="4">
        <v>0.71658677027976436</v>
      </c>
      <c r="AA119" s="2">
        <v>-0.61055000000000081</v>
      </c>
      <c r="AB119" s="2">
        <v>0.77540835568644395</v>
      </c>
    </row>
    <row r="120" spans="1:28" x14ac:dyDescent="0.2">
      <c r="A120" s="2">
        <v>107873</v>
      </c>
      <c r="C120" s="2" t="s">
        <v>385</v>
      </c>
      <c r="D120" s="2" t="s">
        <v>52</v>
      </c>
      <c r="E120" s="2" t="s">
        <v>29</v>
      </c>
      <c r="F120" s="11">
        <v>119</v>
      </c>
      <c r="G120" s="2" t="str">
        <f>IFERROR(VLOOKUP(F120,Picks!$A$2:$B$231,2,0),"")</f>
        <v>Vidal</v>
      </c>
      <c r="H120" s="2">
        <v>30</v>
      </c>
      <c r="I120" s="4">
        <v>0.78947368421052633</v>
      </c>
      <c r="J120" s="4">
        <v>4.1900000000000004</v>
      </c>
      <c r="K120" s="4">
        <v>3.3078947368421061</v>
      </c>
      <c r="L120" s="4">
        <v>1.4066589503360281</v>
      </c>
      <c r="M120" s="2" t="s">
        <v>647</v>
      </c>
      <c r="N120" s="2">
        <v>15</v>
      </c>
      <c r="O120" s="4">
        <v>-0.40485109567757771</v>
      </c>
      <c r="P120" s="4">
        <v>-0.43214442797044811</v>
      </c>
      <c r="Q120" s="4">
        <v>-0.55213846405965383</v>
      </c>
      <c r="R120" s="4">
        <v>-0.25215337383663938</v>
      </c>
      <c r="S120" s="2">
        <v>-0.68733333333333313</v>
      </c>
      <c r="T120" s="2">
        <v>-0.2897254682457775</v>
      </c>
      <c r="U120" s="2" t="s">
        <v>649</v>
      </c>
      <c r="V120" s="2">
        <v>85</v>
      </c>
      <c r="W120" s="4">
        <v>-0.3935865320543207</v>
      </c>
      <c r="X120" s="4">
        <v>-0.42012045556360073</v>
      </c>
      <c r="Y120" s="4">
        <v>-0.64240979532137166</v>
      </c>
      <c r="Z120" s="4">
        <v>-8.6686445926944328E-2</v>
      </c>
      <c r="AA120" s="2">
        <v>-0.71055000000000046</v>
      </c>
      <c r="AB120" s="2">
        <v>-9.3802170629345039E-2</v>
      </c>
    </row>
    <row r="121" spans="1:28" x14ac:dyDescent="0.2">
      <c r="A121" s="2">
        <v>95556</v>
      </c>
      <c r="C121" s="2" t="s">
        <v>236</v>
      </c>
      <c r="D121" s="2" t="s">
        <v>99</v>
      </c>
      <c r="E121" s="2" t="s">
        <v>29</v>
      </c>
      <c r="F121" s="11">
        <v>120</v>
      </c>
      <c r="G121" s="2" t="str">
        <f>IFERROR(VLOOKUP(F121,Picks!$A$2:$B$231,2,0),"")</f>
        <v>Massa</v>
      </c>
      <c r="H121" s="2">
        <v>30</v>
      </c>
      <c r="I121" s="4">
        <v>0.78947368421052633</v>
      </c>
      <c r="J121" s="4">
        <v>4.1500000000000004</v>
      </c>
      <c r="K121" s="4">
        <v>3.276315789473685</v>
      </c>
      <c r="L121" s="4">
        <v>0.99629016693346284</v>
      </c>
      <c r="M121" s="2" t="s">
        <v>620</v>
      </c>
      <c r="N121" s="2">
        <v>11</v>
      </c>
      <c r="O121" s="4">
        <v>-0.43321194790232642</v>
      </c>
      <c r="P121" s="4">
        <v>-0.46241724776091009</v>
      </c>
      <c r="Q121" s="4">
        <v>-0.58427067341327099</v>
      </c>
      <c r="R121" s="4">
        <v>-0.2796371092823689</v>
      </c>
      <c r="S121" s="2">
        <v>-0.72733333333333317</v>
      </c>
      <c r="T121" s="2">
        <v>-0.32130441561419859</v>
      </c>
      <c r="U121" s="2" t="s">
        <v>649</v>
      </c>
      <c r="V121" s="2">
        <v>80</v>
      </c>
      <c r="W121" s="4">
        <v>-0.42485065247634979</v>
      </c>
      <c r="X121" s="4">
        <v>-0.45349226949722737</v>
      </c>
      <c r="Y121" s="4">
        <v>-0.67857388203286961</v>
      </c>
      <c r="Z121" s="4">
        <v>-0.115869850693764</v>
      </c>
      <c r="AA121" s="2">
        <v>-0.75055000000000049</v>
      </c>
      <c r="AB121" s="2">
        <v>-0.12538111799776619</v>
      </c>
    </row>
    <row r="122" spans="1:28" x14ac:dyDescent="0.2">
      <c r="A122" s="2">
        <v>72605</v>
      </c>
      <c r="C122" s="2" t="s">
        <v>93</v>
      </c>
      <c r="D122" s="2" t="s">
        <v>26</v>
      </c>
      <c r="E122" s="2" t="s">
        <v>53</v>
      </c>
      <c r="F122" s="11">
        <v>121</v>
      </c>
      <c r="G122" s="2" t="str">
        <f>IFERROR(VLOOKUP(F122,Picks!$A$2:$B$231,2,0),"")</f>
        <v>Massa</v>
      </c>
      <c r="H122" s="2">
        <v>16</v>
      </c>
      <c r="I122" s="4">
        <v>0.42105263157894729</v>
      </c>
      <c r="J122" s="4">
        <v>4.84</v>
      </c>
      <c r="K122" s="4">
        <v>2.0378947368421052</v>
      </c>
      <c r="L122" s="4">
        <v>1.8904917436256969</v>
      </c>
      <c r="M122" s="2" t="s">
        <v>649</v>
      </c>
      <c r="N122" s="2">
        <v>12</v>
      </c>
      <c r="O122" s="4">
        <v>-0.78125831075679952</v>
      </c>
      <c r="P122" s="4">
        <v>-0.94547184104326054</v>
      </c>
      <c r="Q122" s="4">
        <v>-4.2840841348269557E-2</v>
      </c>
      <c r="R122" s="4">
        <v>-2.2994183405857469</v>
      </c>
      <c r="S122" s="2">
        <v>-1.699999999999946E-2</v>
      </c>
      <c r="T122" s="2">
        <v>-1.275710427532796</v>
      </c>
      <c r="U122" s="2" t="s">
        <v>648</v>
      </c>
      <c r="V122" s="2">
        <v>118</v>
      </c>
      <c r="W122" s="4">
        <v>-0.44371861802616458</v>
      </c>
      <c r="X122" s="4">
        <v>-0.53698431480873421</v>
      </c>
      <c r="Y122" s="4">
        <v>-5.4743386259530867E-2</v>
      </c>
      <c r="Z122" s="4">
        <v>-1.2603457076325391</v>
      </c>
      <c r="AA122" s="2">
        <v>-6.0550000000000992E-2</v>
      </c>
      <c r="AB122" s="2">
        <v>-1.3638021706293459</v>
      </c>
    </row>
    <row r="123" spans="1:28" x14ac:dyDescent="0.2">
      <c r="A123" s="2">
        <v>95362</v>
      </c>
      <c r="C123" s="2" t="s">
        <v>650</v>
      </c>
      <c r="D123" s="2" t="s">
        <v>26</v>
      </c>
      <c r="E123" s="2" t="s">
        <v>27</v>
      </c>
      <c r="F123" s="11">
        <v>122</v>
      </c>
      <c r="G123" s="2" t="str">
        <f>IFERROR(VLOOKUP(F123,Picks!$A$2:$B$231,2,0),"")</f>
        <v>Vidal</v>
      </c>
      <c r="M123" s="2" t="s">
        <v>620</v>
      </c>
      <c r="N123" s="2">
        <v>16</v>
      </c>
      <c r="U123" s="2" t="s">
        <v>647</v>
      </c>
      <c r="V123" s="2">
        <v>53</v>
      </c>
    </row>
    <row r="124" spans="1:28" x14ac:dyDescent="0.2">
      <c r="A124" s="2">
        <v>124239</v>
      </c>
      <c r="C124" s="2" t="s">
        <v>509</v>
      </c>
      <c r="D124" s="2" t="s">
        <v>77</v>
      </c>
      <c r="E124" s="2" t="s">
        <v>27</v>
      </c>
      <c r="F124" s="2">
        <v>123</v>
      </c>
      <c r="G124" s="2" t="str">
        <f>IFERROR(VLOOKUP(F124,Picks!$A$2:$B$231,2,0),"")</f>
        <v>Fellipe</v>
      </c>
      <c r="H124" s="2">
        <v>17</v>
      </c>
      <c r="I124" s="4">
        <v>0.44736842105263158</v>
      </c>
      <c r="J124" s="4">
        <v>1.65</v>
      </c>
      <c r="K124" s="4">
        <v>0.73815789473684212</v>
      </c>
      <c r="L124" s="4">
        <v>0.40338715259548058</v>
      </c>
      <c r="M124" s="2" t="s">
        <v>656</v>
      </c>
      <c r="N124" s="2">
        <v>66</v>
      </c>
      <c r="O124" s="4">
        <v>-2.648256958238306</v>
      </c>
      <c r="P124" s="4">
        <v>-3.1745667007273068</v>
      </c>
      <c r="Q124" s="4">
        <v>-3.0899638041840758</v>
      </c>
      <c r="R124" s="4">
        <v>-3.301471045542153</v>
      </c>
      <c r="S124" s="2">
        <v>-4.0213333333333328</v>
      </c>
      <c r="T124" s="2">
        <v>-3.620774615917814</v>
      </c>
      <c r="U124" s="2" t="s">
        <v>623</v>
      </c>
      <c r="V124" s="2">
        <v>287</v>
      </c>
      <c r="W124" s="4">
        <v>-2.292320418591665</v>
      </c>
      <c r="X124" s="4">
        <v>-2.7478919844316492</v>
      </c>
      <c r="Y124" s="4">
        <v>-2.9388293015014901</v>
      </c>
      <c r="Z124" s="4">
        <v>-2.461486008826888</v>
      </c>
      <c r="AA124" s="2">
        <v>-3.2505500000000009</v>
      </c>
      <c r="AB124" s="2">
        <v>-2.663539012734609</v>
      </c>
    </row>
    <row r="125" spans="1:28" x14ac:dyDescent="0.2">
      <c r="A125" s="2">
        <v>97468</v>
      </c>
      <c r="C125" s="2" t="s">
        <v>253</v>
      </c>
      <c r="D125" s="2" t="s">
        <v>61</v>
      </c>
      <c r="E125" s="2" t="s">
        <v>37</v>
      </c>
      <c r="F125" s="2">
        <v>124</v>
      </c>
      <c r="G125" s="2" t="str">
        <f>IFERROR(VLOOKUP(F125,Picks!$A$2:$B$231,2,0),"")</f>
        <v>Carlos</v>
      </c>
      <c r="H125" s="2">
        <v>15</v>
      </c>
      <c r="I125" s="4">
        <v>0.40540540540540537</v>
      </c>
      <c r="J125" s="4">
        <v>5.84</v>
      </c>
      <c r="K125" s="4">
        <v>2.3675675675675678</v>
      </c>
      <c r="L125" s="4">
        <v>2.4969564957647421</v>
      </c>
      <c r="O125" s="4">
        <v>-1.126473992847546</v>
      </c>
      <c r="P125" s="4">
        <v>-1.371037425505236</v>
      </c>
      <c r="Q125" s="4">
        <v>-0.55928474497956082</v>
      </c>
      <c r="R125" s="4">
        <v>-2.5886664462937499</v>
      </c>
      <c r="S125" s="2">
        <v>-0.4975000000000005</v>
      </c>
      <c r="T125" s="2">
        <v>-2.3580255498413392</v>
      </c>
      <c r="W125" s="4">
        <v>0.1046274972327926</v>
      </c>
      <c r="X125" s="4">
        <v>0.12734267755306991</v>
      </c>
      <c r="Y125" s="4">
        <v>0.84935878152791711</v>
      </c>
      <c r="Z125" s="4">
        <v>-0.9556814784092007</v>
      </c>
      <c r="AA125" s="2">
        <v>0.93944999999999901</v>
      </c>
      <c r="AB125" s="2">
        <v>-1.0341293399038829</v>
      </c>
    </row>
    <row r="126" spans="1:28" x14ac:dyDescent="0.2">
      <c r="A126" s="2">
        <v>69140</v>
      </c>
      <c r="C126" s="2" t="s">
        <v>73</v>
      </c>
      <c r="D126" s="2" t="s">
        <v>61</v>
      </c>
      <c r="E126" s="2" t="s">
        <v>29</v>
      </c>
      <c r="F126" s="2">
        <v>125</v>
      </c>
      <c r="G126" s="2" t="str">
        <f>IFERROR(VLOOKUP(F126,Picks!$A$2:$B$231,2,0),"")</f>
        <v>Fernando</v>
      </c>
      <c r="H126" s="2">
        <v>20</v>
      </c>
      <c r="I126" s="4">
        <v>0.52631578947368418</v>
      </c>
      <c r="J126" s="4">
        <v>1.28</v>
      </c>
      <c r="K126" s="4">
        <v>0.67368421052631577</v>
      </c>
      <c r="L126" s="4">
        <v>0.85778839150971209</v>
      </c>
      <c r="M126" s="2" t="s">
        <v>656</v>
      </c>
      <c r="N126" s="2">
        <v>102</v>
      </c>
      <c r="O126" s="4">
        <v>-2.3607169943022082</v>
      </c>
      <c r="P126" s="4">
        <v>-2.7517560056283412</v>
      </c>
      <c r="Q126" s="4">
        <v>-2.8897566945352988</v>
      </c>
      <c r="R126" s="4">
        <v>-2.5447549722679041</v>
      </c>
      <c r="S126" s="2">
        <v>-3.5973333333333328</v>
      </c>
      <c r="T126" s="2">
        <v>-2.9239359945615671</v>
      </c>
      <c r="U126" s="2" t="s">
        <v>656</v>
      </c>
      <c r="V126" s="2">
        <v>297</v>
      </c>
      <c r="W126" s="4">
        <v>-2.55003701089715</v>
      </c>
      <c r="X126" s="4">
        <v>-2.9724357795733649</v>
      </c>
      <c r="Y126" s="4">
        <v>-3.2733471035828461</v>
      </c>
      <c r="Z126" s="4">
        <v>-2.5210687935591451</v>
      </c>
      <c r="AA126" s="2">
        <v>-3.620550000000001</v>
      </c>
      <c r="AB126" s="2">
        <v>-2.728012696945135</v>
      </c>
    </row>
    <row r="127" spans="1:28" x14ac:dyDescent="0.2">
      <c r="A127" s="2">
        <v>93882</v>
      </c>
      <c r="C127" s="2" t="s">
        <v>225</v>
      </c>
      <c r="D127" s="2" t="s">
        <v>77</v>
      </c>
      <c r="E127" s="2" t="s">
        <v>24</v>
      </c>
      <c r="F127" s="2">
        <v>126</v>
      </c>
      <c r="G127" s="2" t="str">
        <f>IFERROR(VLOOKUP(F127,Picks!$A$2:$B$231,2,0),"")</f>
        <v>Rodolfo</v>
      </c>
      <c r="H127" s="2">
        <v>31</v>
      </c>
      <c r="I127" s="4">
        <v>0.81578947368421051</v>
      </c>
      <c r="J127" s="4">
        <v>3.97</v>
      </c>
      <c r="K127" s="4">
        <v>3.2386842105263161</v>
      </c>
      <c r="L127" s="4">
        <v>1.159647025317873</v>
      </c>
      <c r="M127" s="2" t="s">
        <v>621</v>
      </c>
      <c r="N127" s="2">
        <v>13</v>
      </c>
      <c r="O127" s="4">
        <v>-1.196600939518125</v>
      </c>
      <c r="P127" s="4">
        <v>-1.2665970947545619</v>
      </c>
      <c r="Q127" s="4">
        <v>-1.248290037850067</v>
      </c>
      <c r="R127" s="4">
        <v>-1.2940576801113031</v>
      </c>
      <c r="S127" s="2">
        <v>-1.5709999999999991</v>
      </c>
      <c r="T127" s="2">
        <v>-0.92295590327169252</v>
      </c>
      <c r="U127" s="2" t="s">
        <v>655</v>
      </c>
      <c r="V127" s="2">
        <v>191</v>
      </c>
      <c r="W127" s="4">
        <v>-0.53381983026493063</v>
      </c>
      <c r="X127" s="4">
        <v>-0.56504605989045587</v>
      </c>
      <c r="Y127" s="4">
        <v>-0.84131227223461036</v>
      </c>
      <c r="Z127" s="4">
        <v>-0.15064674137422401</v>
      </c>
      <c r="AA127" s="2">
        <v>-0.93055000000000065</v>
      </c>
      <c r="AB127" s="2">
        <v>-0.16301269694513459</v>
      </c>
    </row>
    <row r="128" spans="1:28" x14ac:dyDescent="0.2">
      <c r="A128" s="2">
        <v>110750</v>
      </c>
      <c r="C128" s="2" t="s">
        <v>412</v>
      </c>
      <c r="D128" s="2" t="s">
        <v>77</v>
      </c>
      <c r="E128" s="2" t="s">
        <v>53</v>
      </c>
      <c r="F128" s="2">
        <v>127</v>
      </c>
      <c r="G128" s="2" t="str">
        <f>IFERROR(VLOOKUP(F128,Picks!$A$2:$B$231,2,0),"")</f>
        <v>Petindá</v>
      </c>
      <c r="H128" s="2">
        <v>11</v>
      </c>
      <c r="I128" s="4">
        <v>0.42307692307692307</v>
      </c>
      <c r="J128" s="4">
        <v>1.89</v>
      </c>
      <c r="K128" s="4">
        <v>0.79961538461538462</v>
      </c>
      <c r="L128" s="4">
        <v>0.80740038680656112</v>
      </c>
      <c r="M128" s="2" t="s">
        <v>656</v>
      </c>
      <c r="N128" s="2">
        <v>60</v>
      </c>
      <c r="O128" s="4">
        <v>-5.2085730931852154</v>
      </c>
      <c r="P128" s="4">
        <v>-6.2987395545495612</v>
      </c>
      <c r="Q128" s="4">
        <v>-7.476986840018812</v>
      </c>
      <c r="R128" s="4">
        <v>-4.5313686263456869</v>
      </c>
      <c r="S128" s="2">
        <v>-2.9670000000000001</v>
      </c>
      <c r="T128" s="2">
        <v>-2.513989779759517</v>
      </c>
      <c r="U128" s="2" t="s">
        <v>656</v>
      </c>
      <c r="V128" s="2">
        <v>291</v>
      </c>
      <c r="W128" s="4">
        <v>-2.1458514212732909</v>
      </c>
      <c r="X128" s="4">
        <v>-2.5949831140979329</v>
      </c>
      <c r="Y128" s="4">
        <v>-2.7218447812325031</v>
      </c>
      <c r="Z128" s="4">
        <v>-2.4046906133960779</v>
      </c>
      <c r="AA128" s="2">
        <v>-3.0105500000000012</v>
      </c>
      <c r="AB128" s="2">
        <v>-2.6020815228560661</v>
      </c>
    </row>
    <row r="129" spans="1:28" x14ac:dyDescent="0.2">
      <c r="A129" s="2">
        <v>90703</v>
      </c>
      <c r="C129" s="2" t="s">
        <v>196</v>
      </c>
      <c r="D129" s="2" t="s">
        <v>33</v>
      </c>
      <c r="E129" s="2" t="s">
        <v>29</v>
      </c>
      <c r="F129" s="11">
        <v>128</v>
      </c>
      <c r="G129" s="2" t="str">
        <f>IFERROR(VLOOKUP(F129,Picks!$A$2:$B$231,2,0),"")</f>
        <v>Fochesato</v>
      </c>
      <c r="H129" s="2">
        <v>27</v>
      </c>
      <c r="I129" s="4">
        <v>0.71052631578947367</v>
      </c>
      <c r="J129" s="4">
        <v>3.99</v>
      </c>
      <c r="K129" s="4">
        <v>2.835</v>
      </c>
      <c r="L129" s="4">
        <v>1.7038878854054029</v>
      </c>
      <c r="M129" s="2" t="s">
        <v>619</v>
      </c>
      <c r="N129" s="2">
        <v>23</v>
      </c>
      <c r="O129" s="4">
        <v>-0.63297240810229727</v>
      </c>
      <c r="P129" s="4">
        <v>-0.69316863135121898</v>
      </c>
      <c r="Q129" s="4">
        <v>-0.71279951082773951</v>
      </c>
      <c r="R129" s="4">
        <v>-0.66372231213643806</v>
      </c>
      <c r="S129" s="2">
        <v>-0.88733333333333331</v>
      </c>
      <c r="T129" s="2">
        <v>-0.7626202050878832</v>
      </c>
      <c r="U129" s="2" t="s">
        <v>648</v>
      </c>
      <c r="V129" s="2">
        <v>119</v>
      </c>
      <c r="W129" s="4">
        <v>-0.64233472278214832</v>
      </c>
      <c r="X129" s="4">
        <v>-0.70342131025134402</v>
      </c>
      <c r="Y129" s="4">
        <v>-0.82323022887886133</v>
      </c>
      <c r="Z129" s="4">
        <v>-0.52370793231006807</v>
      </c>
      <c r="AA129" s="2">
        <v>-0.91055000000000064</v>
      </c>
      <c r="AB129" s="2">
        <v>-0.56669690747145074</v>
      </c>
    </row>
    <row r="130" spans="1:28" x14ac:dyDescent="0.2">
      <c r="A130" s="2">
        <v>100848</v>
      </c>
      <c r="C130" s="2" t="s">
        <v>291</v>
      </c>
      <c r="D130" s="2" t="s">
        <v>33</v>
      </c>
      <c r="E130" s="2" t="s">
        <v>37</v>
      </c>
      <c r="F130" s="2">
        <v>129</v>
      </c>
      <c r="G130" s="2" t="str">
        <f>IFERROR(VLOOKUP(F130,Picks!$A$2:$B$231,2,0),"")</f>
        <v>Anuda</v>
      </c>
      <c r="H130" s="2">
        <v>13</v>
      </c>
      <c r="I130" s="4">
        <v>0.34210526315789469</v>
      </c>
      <c r="J130" s="4">
        <v>2.89</v>
      </c>
      <c r="K130" s="4">
        <v>0.98868421052631583</v>
      </c>
      <c r="L130" s="4">
        <v>2.4610643131260952</v>
      </c>
      <c r="O130" s="4">
        <v>-3.1835224576456751</v>
      </c>
      <c r="P130" s="4">
        <v>-3.966355848870021</v>
      </c>
      <c r="Q130" s="4">
        <v>-3.8756465493809729</v>
      </c>
      <c r="R130" s="4">
        <v>-4.1024197981035933</v>
      </c>
      <c r="S130" s="2">
        <v>-3.4474999999999998</v>
      </c>
      <c r="T130" s="2">
        <v>-3.7369089068825909</v>
      </c>
      <c r="W130" s="4">
        <v>-1.5913224911675781</v>
      </c>
      <c r="X130" s="4">
        <v>-1.98263130047108</v>
      </c>
      <c r="Y130" s="4">
        <v>-1.8177426134450541</v>
      </c>
      <c r="Z130" s="4">
        <v>-2.22996433101012</v>
      </c>
      <c r="AA130" s="2">
        <v>-2.0105500000000012</v>
      </c>
      <c r="AB130" s="2">
        <v>-2.4130126969451351</v>
      </c>
    </row>
    <row r="131" spans="1:28" x14ac:dyDescent="0.2">
      <c r="A131" s="2">
        <v>112863</v>
      </c>
      <c r="C131" s="2" t="s">
        <v>436</v>
      </c>
      <c r="D131" s="2" t="s">
        <v>65</v>
      </c>
      <c r="E131" s="2" t="s">
        <v>27</v>
      </c>
      <c r="F131" s="2">
        <v>130</v>
      </c>
      <c r="G131" s="2" t="str">
        <f>IFERROR(VLOOKUP(F131,Picks!$A$2:$B$231,2,0),"")</f>
        <v>Sousa</v>
      </c>
      <c r="H131" s="2">
        <v>21</v>
      </c>
      <c r="I131" s="4">
        <v>0.80769230769230771</v>
      </c>
      <c r="J131" s="4">
        <v>2.8</v>
      </c>
      <c r="K131" s="4">
        <v>2.2615384615384611</v>
      </c>
      <c r="L131" s="4">
        <v>0.88160840774994009</v>
      </c>
      <c r="O131" s="4">
        <v>-1.9682546770729481</v>
      </c>
      <c r="P131" s="4">
        <v>-2.088760065465169</v>
      </c>
      <c r="Q131" s="4">
        <v>-2.2063120199968198</v>
      </c>
      <c r="R131" s="4">
        <v>-1.9124321336676939</v>
      </c>
      <c r="S131" s="2">
        <v>-2.8713333333333328</v>
      </c>
      <c r="T131" s="2">
        <v>-2.0973940491161942</v>
      </c>
      <c r="W131" s="4">
        <v>-1.4708801347237661</v>
      </c>
      <c r="X131" s="4">
        <v>-1.5609340205231801</v>
      </c>
      <c r="Y131" s="4">
        <v>-1.8991118085459251</v>
      </c>
      <c r="Z131" s="4">
        <v>-1.0536673384890629</v>
      </c>
      <c r="AA131" s="2">
        <v>-2.100550000000001</v>
      </c>
      <c r="AB131" s="2">
        <v>-1.140158445932989</v>
      </c>
    </row>
    <row r="132" spans="1:28" x14ac:dyDescent="0.2">
      <c r="A132" s="2">
        <v>106294</v>
      </c>
      <c r="C132" s="2" t="s">
        <v>368</v>
      </c>
      <c r="D132" s="2" t="s">
        <v>52</v>
      </c>
      <c r="E132" s="2" t="s">
        <v>29</v>
      </c>
      <c r="F132" s="2">
        <v>131</v>
      </c>
      <c r="G132" s="2" t="str">
        <f>IFERROR(VLOOKUP(F132,Picks!$A$2:$B$231,2,0),"")</f>
        <v>Sousa</v>
      </c>
      <c r="H132" s="2">
        <v>28</v>
      </c>
      <c r="I132" s="4">
        <v>0.73684210526315785</v>
      </c>
      <c r="J132" s="4">
        <v>1.9</v>
      </c>
      <c r="K132" s="4">
        <v>1.4</v>
      </c>
      <c r="L132" s="4">
        <v>0.48490969375266751</v>
      </c>
      <c r="M132" s="2" t="s">
        <v>657</v>
      </c>
      <c r="N132" s="2">
        <v>84</v>
      </c>
      <c r="O132" s="4">
        <v>-2.026385874706965</v>
      </c>
      <c r="P132" s="4">
        <v>-2.2000760925389908</v>
      </c>
      <c r="Q132" s="4">
        <v>-2.3917074495542341</v>
      </c>
      <c r="R132" s="4">
        <v>-1.9126290570161271</v>
      </c>
      <c r="S132" s="2">
        <v>-2.9773333333333341</v>
      </c>
      <c r="T132" s="2">
        <v>-2.1976202050878828</v>
      </c>
      <c r="U132" s="2" t="s">
        <v>657</v>
      </c>
      <c r="V132" s="2">
        <v>252</v>
      </c>
      <c r="W132" s="4">
        <v>-2.180704887514719</v>
      </c>
      <c r="X132" s="4">
        <v>-2.3676224493016949</v>
      </c>
      <c r="Y132" s="4">
        <v>-2.7128037595546282</v>
      </c>
      <c r="Z132" s="4">
        <v>-1.8498504839222949</v>
      </c>
      <c r="AA132" s="2">
        <v>-3.0005500000000009</v>
      </c>
      <c r="AB132" s="2">
        <v>-2.0016969074714508</v>
      </c>
    </row>
    <row r="133" spans="1:28" x14ac:dyDescent="0.2">
      <c r="A133" s="2">
        <v>89368</v>
      </c>
      <c r="C133" s="2" t="s">
        <v>182</v>
      </c>
      <c r="D133" s="2" t="s">
        <v>31</v>
      </c>
      <c r="E133" s="2" t="s">
        <v>27</v>
      </c>
      <c r="F133" s="2">
        <v>132</v>
      </c>
      <c r="G133" s="2" t="str">
        <f>IFERROR(VLOOKUP(F133,Picks!$A$2:$B$231,2,0),"")</f>
        <v>Anuda</v>
      </c>
      <c r="H133" s="2">
        <v>17</v>
      </c>
      <c r="I133" s="4">
        <v>0.44736842105263158</v>
      </c>
      <c r="J133" s="4">
        <v>4.3600000000000003</v>
      </c>
      <c r="K133" s="4">
        <v>1.9505263157894741</v>
      </c>
      <c r="L133" s="4">
        <v>1.3262312511159959</v>
      </c>
      <c r="O133" s="4">
        <v>-1.2371161725830211</v>
      </c>
      <c r="P133" s="4">
        <v>-1.4829783772288569</v>
      </c>
      <c r="Q133" s="4">
        <v>-1.00761916492541</v>
      </c>
      <c r="R133" s="4">
        <v>-2.196017195684028</v>
      </c>
      <c r="S133" s="2">
        <v>-1.311333333333333</v>
      </c>
      <c r="T133" s="2">
        <v>-2.408406194865182</v>
      </c>
      <c r="W133" s="4">
        <v>-0.69211280739198777</v>
      </c>
      <c r="X133" s="4">
        <v>-0.82966204040679914</v>
      </c>
      <c r="Y133" s="4">
        <v>-0.48871242679750548</v>
      </c>
      <c r="Z133" s="4">
        <v>-1.34108646082074</v>
      </c>
      <c r="AA133" s="2">
        <v>-0.54055000000000053</v>
      </c>
      <c r="AB133" s="2">
        <v>-1.451170591681977</v>
      </c>
    </row>
    <row r="134" spans="1:28" x14ac:dyDescent="0.2">
      <c r="A134" s="2">
        <v>118775</v>
      </c>
      <c r="C134" s="2" t="s">
        <v>477</v>
      </c>
      <c r="D134" s="2" t="s">
        <v>50</v>
      </c>
      <c r="E134" s="2" t="s">
        <v>27</v>
      </c>
      <c r="F134" s="2">
        <v>133</v>
      </c>
      <c r="G134" s="2" t="str">
        <f>IFERROR(VLOOKUP(F134,Picks!$A$2:$B$231,2,0),"")</f>
        <v>Fochesato</v>
      </c>
      <c r="H134" s="2">
        <v>20</v>
      </c>
      <c r="I134" s="4">
        <v>0.52631578947368418</v>
      </c>
      <c r="J134" s="4">
        <v>3.33</v>
      </c>
      <c r="K134" s="4">
        <v>1.7526315789473681</v>
      </c>
      <c r="L134" s="4">
        <v>1.4119540448439061</v>
      </c>
      <c r="O134" s="4">
        <v>-1.7415455294912081</v>
      </c>
      <c r="P134" s="4">
        <v>-2.030022396339445</v>
      </c>
      <c r="Q134" s="4">
        <v>-1.799063806414867</v>
      </c>
      <c r="R134" s="4">
        <v>-2.3764602812263131</v>
      </c>
      <c r="S134" s="2">
        <v>-2.341333333333333</v>
      </c>
      <c r="T134" s="2">
        <v>-2.6063009317072869</v>
      </c>
      <c r="W134" s="4">
        <v>-1.253856265430884</v>
      </c>
      <c r="X134" s="4">
        <v>-1.4615502480482701</v>
      </c>
      <c r="Y134" s="4">
        <v>-1.4199376596185771</v>
      </c>
      <c r="Z134" s="4">
        <v>-1.5239691306928089</v>
      </c>
      <c r="AA134" s="2">
        <v>-1.570550000000001</v>
      </c>
      <c r="AB134" s="2">
        <v>-1.6490653285240819</v>
      </c>
    </row>
    <row r="135" spans="1:28" x14ac:dyDescent="0.2">
      <c r="A135" s="2">
        <v>90031</v>
      </c>
      <c r="C135" s="2" t="s">
        <v>189</v>
      </c>
      <c r="D135" s="2" t="s">
        <v>43</v>
      </c>
      <c r="E135" s="2" t="s">
        <v>27</v>
      </c>
      <c r="F135" s="2">
        <v>134</v>
      </c>
      <c r="G135" s="2" t="str">
        <f>IFERROR(VLOOKUP(F135,Picks!$A$2:$B$231,2,0),"")</f>
        <v>Petindá</v>
      </c>
      <c r="I135" s="4"/>
      <c r="J135" s="4"/>
      <c r="K135" s="4"/>
      <c r="L135" s="4"/>
      <c r="M135" s="2" t="s">
        <v>621</v>
      </c>
      <c r="N135" s="2">
        <v>52</v>
      </c>
      <c r="O135" s="4"/>
      <c r="P135" s="4"/>
      <c r="Q135" s="4"/>
      <c r="R135" s="4"/>
      <c r="U135" s="2" t="s">
        <v>621</v>
      </c>
      <c r="V135" s="2">
        <v>170</v>
      </c>
      <c r="W135" s="4"/>
      <c r="X135" s="4"/>
      <c r="Y135" s="4"/>
      <c r="Z135" s="4"/>
    </row>
    <row r="136" spans="1:28" x14ac:dyDescent="0.2">
      <c r="A136" s="2">
        <v>91706</v>
      </c>
      <c r="C136" s="2" t="s">
        <v>207</v>
      </c>
      <c r="D136" s="2" t="s">
        <v>31</v>
      </c>
      <c r="E136" s="2" t="s">
        <v>37</v>
      </c>
      <c r="F136" s="11">
        <v>135</v>
      </c>
      <c r="G136" s="2" t="str">
        <f>IFERROR(VLOOKUP(F136,Picks!$A$2:$B$231,2,0),"")</f>
        <v>Rodolfo</v>
      </c>
      <c r="H136" s="2">
        <v>29</v>
      </c>
      <c r="I136" s="4">
        <v>0.76315789473684215</v>
      </c>
      <c r="J136" s="4">
        <v>5.34</v>
      </c>
      <c r="K136" s="4">
        <v>4.0752631578947369</v>
      </c>
      <c r="L136" s="4">
        <v>1.6359923972180721</v>
      </c>
      <c r="M136" s="2" t="s">
        <v>648</v>
      </c>
      <c r="N136" s="2">
        <v>25</v>
      </c>
      <c r="O136" s="4">
        <v>-0.89030663166085178</v>
      </c>
      <c r="P136" s="4">
        <v>-0.95840373946493962</v>
      </c>
      <c r="Q136" s="4">
        <v>-1.121379966064546</v>
      </c>
      <c r="R136" s="4">
        <v>-0.71393939956552988</v>
      </c>
      <c r="S136" s="2">
        <v>-0.9975000000000005</v>
      </c>
      <c r="T136" s="2">
        <v>-0.65032995951416961</v>
      </c>
      <c r="U136" s="2" t="s">
        <v>647</v>
      </c>
      <c r="V136" s="2">
        <v>51</v>
      </c>
      <c r="W136" s="4">
        <v>0.45274361919410061</v>
      </c>
      <c r="X136" s="4">
        <v>0.48737273454322438</v>
      </c>
      <c r="Y136" s="4">
        <v>0.39730769763419321</v>
      </c>
      <c r="Z136" s="4">
        <v>0.62247028990677133</v>
      </c>
      <c r="AA136" s="2">
        <v>0.43944999999999901</v>
      </c>
      <c r="AB136" s="2">
        <v>0.67356625042328622</v>
      </c>
    </row>
    <row r="137" spans="1:28" x14ac:dyDescent="0.2">
      <c r="A137" s="2">
        <v>113034</v>
      </c>
      <c r="C137" s="2" t="s">
        <v>438</v>
      </c>
      <c r="D137" s="2" t="s">
        <v>23</v>
      </c>
      <c r="E137" s="2" t="s">
        <v>53</v>
      </c>
      <c r="F137" s="2">
        <v>136</v>
      </c>
      <c r="G137" s="2" t="str">
        <f>IFERROR(VLOOKUP(F137,Picks!$A$2:$B$231,2,0),"")</f>
        <v>Fernando</v>
      </c>
      <c r="H137" s="2">
        <v>31</v>
      </c>
      <c r="I137" s="4">
        <v>0.81578947368421051</v>
      </c>
      <c r="J137" s="4">
        <v>3.14</v>
      </c>
      <c r="K137" s="4">
        <v>2.561578947368421</v>
      </c>
      <c r="L137" s="4">
        <v>0.62371329856362767</v>
      </c>
      <c r="M137" s="2" t="s">
        <v>621</v>
      </c>
      <c r="N137" s="2">
        <v>31</v>
      </c>
      <c r="O137" s="4">
        <v>-2.9649188058925509</v>
      </c>
      <c r="P137" s="4">
        <v>-3.1383541677971301</v>
      </c>
      <c r="Q137" s="4">
        <v>-4.326924976175361</v>
      </c>
      <c r="R137" s="4">
        <v>-1.355497955229783</v>
      </c>
      <c r="S137" s="2">
        <v>-1.716999999999999</v>
      </c>
      <c r="T137" s="2">
        <v>-0.7520262170064802</v>
      </c>
      <c r="U137" s="2" t="s">
        <v>655</v>
      </c>
      <c r="V137" s="2">
        <v>205</v>
      </c>
      <c r="W137" s="4">
        <v>-1.1956450354873629</v>
      </c>
      <c r="X137" s="4">
        <v>-1.2655852743320279</v>
      </c>
      <c r="Y137" s="4">
        <v>-1.5917170714981921</v>
      </c>
      <c r="Z137" s="4">
        <v>-0.77638757858278107</v>
      </c>
      <c r="AA137" s="2">
        <v>-1.7605500000000009</v>
      </c>
      <c r="AB137" s="2">
        <v>-0.84011796010302975</v>
      </c>
    </row>
    <row r="138" spans="1:28" x14ac:dyDescent="0.2">
      <c r="A138" s="2">
        <v>110759</v>
      </c>
      <c r="C138" s="2" t="s">
        <v>413</v>
      </c>
      <c r="D138" s="2" t="s">
        <v>23</v>
      </c>
      <c r="E138" s="2" t="s">
        <v>27</v>
      </c>
      <c r="F138" s="2">
        <v>137</v>
      </c>
      <c r="G138" s="2" t="str">
        <f>IFERROR(VLOOKUP(F138,Picks!$A$2:$B$231,2,0),"")</f>
        <v>Carlos</v>
      </c>
      <c r="H138" s="2">
        <v>15</v>
      </c>
      <c r="I138" s="4">
        <v>0.6</v>
      </c>
      <c r="J138" s="4">
        <v>3</v>
      </c>
      <c r="K138" s="4">
        <v>1.8</v>
      </c>
      <c r="L138" s="4">
        <v>1.342082088895211</v>
      </c>
      <c r="M138" s="2" t="s">
        <v>623</v>
      </c>
      <c r="N138" s="2">
        <v>60</v>
      </c>
      <c r="O138" s="4">
        <v>-1.9051011902153341</v>
      </c>
      <c r="P138" s="4">
        <v>-2.1648877161537889</v>
      </c>
      <c r="Q138" s="4">
        <v>-2.0526334488338192</v>
      </c>
      <c r="R138" s="4">
        <v>-2.333269117133745</v>
      </c>
      <c r="S138" s="2">
        <v>-2.6713333333333331</v>
      </c>
      <c r="T138" s="2">
        <v>-2.5589325106546559</v>
      </c>
      <c r="U138" s="2" t="s">
        <v>657</v>
      </c>
      <c r="V138" s="2">
        <v>234</v>
      </c>
      <c r="W138" s="4">
        <v>-1.4282861422808819</v>
      </c>
      <c r="X138" s="4">
        <v>-1.6230524344100929</v>
      </c>
      <c r="Y138" s="4">
        <v>-1.718291374988435</v>
      </c>
      <c r="Z138" s="4">
        <v>-1.4801940235425799</v>
      </c>
      <c r="AA138" s="2">
        <v>-1.9005500000000011</v>
      </c>
      <c r="AB138" s="2">
        <v>-1.6016969074714511</v>
      </c>
    </row>
    <row r="139" spans="1:28" x14ac:dyDescent="0.2">
      <c r="A139" s="2">
        <v>92087</v>
      </c>
      <c r="C139" s="2" t="s">
        <v>211</v>
      </c>
      <c r="D139" s="2" t="s">
        <v>26</v>
      </c>
      <c r="E139" s="2" t="s">
        <v>53</v>
      </c>
      <c r="F139" s="2">
        <v>138</v>
      </c>
      <c r="G139" s="2" t="str">
        <f>IFERROR(VLOOKUP(F139,Picks!$A$2:$B$231,2,0),"")</f>
        <v>Fellipe</v>
      </c>
      <c r="H139" s="2">
        <v>15</v>
      </c>
      <c r="I139" s="4">
        <v>0.39473684210526322</v>
      </c>
      <c r="J139" s="4">
        <v>5.08</v>
      </c>
      <c r="K139" s="4">
        <v>2.0052631578947371</v>
      </c>
      <c r="L139" s="4">
        <v>1.1407913514482471</v>
      </c>
      <c r="O139" s="4">
        <v>-0.49605447255634599</v>
      </c>
      <c r="P139" s="4">
        <v>-0.60611157418460282</v>
      </c>
      <c r="Q139" s="4">
        <v>0.56197103650967339</v>
      </c>
      <c r="R139" s="4">
        <v>-2.3582354902260172</v>
      </c>
      <c r="S139" s="2">
        <v>0.22300000000000081</v>
      </c>
      <c r="T139" s="2">
        <v>-1.3083420064801641</v>
      </c>
      <c r="W139" s="4">
        <v>-0.34280063112653147</v>
      </c>
      <c r="X139" s="4">
        <v>-0.41885607661762692</v>
      </c>
      <c r="Y139" s="4">
        <v>0.16224113400945681</v>
      </c>
      <c r="Z139" s="4">
        <v>-1.290501892558253</v>
      </c>
      <c r="AA139" s="2">
        <v>0.17944999999999919</v>
      </c>
      <c r="AB139" s="2">
        <v>-1.3964337495767141</v>
      </c>
    </row>
    <row r="140" spans="1:28" x14ac:dyDescent="0.2">
      <c r="A140" s="2">
        <v>111309</v>
      </c>
      <c r="C140" s="2" t="s">
        <v>417</v>
      </c>
      <c r="D140" s="2" t="s">
        <v>31</v>
      </c>
      <c r="E140" s="2" t="s">
        <v>53</v>
      </c>
      <c r="F140" s="2">
        <v>139</v>
      </c>
      <c r="G140" s="2" t="str">
        <f>IFERROR(VLOOKUP(F140,Picks!$A$2:$B$231,2,0),"")</f>
        <v>Vidal</v>
      </c>
      <c r="H140" s="2">
        <v>17</v>
      </c>
      <c r="I140" s="4">
        <v>0.44736842105263158</v>
      </c>
      <c r="J140" s="4">
        <v>4.58</v>
      </c>
      <c r="K140" s="4">
        <v>2.0489473684210529</v>
      </c>
      <c r="L140" s="4">
        <v>2.758601032879886</v>
      </c>
      <c r="M140" s="2" t="s">
        <v>648</v>
      </c>
      <c r="N140" s="2">
        <v>21</v>
      </c>
      <c r="O140" s="4">
        <v>-1.110026208770166</v>
      </c>
      <c r="P140" s="4">
        <v>-1.33063078653837</v>
      </c>
      <c r="Q140" s="4">
        <v>-0.69805370902770658</v>
      </c>
      <c r="R140" s="4">
        <v>-2.2794964028043641</v>
      </c>
      <c r="S140" s="2">
        <v>-0.27699999999999919</v>
      </c>
      <c r="T140" s="2">
        <v>-1.2646577959538481</v>
      </c>
      <c r="U140" s="2" t="s">
        <v>621</v>
      </c>
      <c r="V140" s="2">
        <v>152</v>
      </c>
      <c r="W140" s="4">
        <v>-0.56220665445326867</v>
      </c>
      <c r="X140" s="4">
        <v>-0.67393857631622112</v>
      </c>
      <c r="Y140" s="4">
        <v>-0.28980994988426723</v>
      </c>
      <c r="Z140" s="4">
        <v>-1.250131515964152</v>
      </c>
      <c r="AA140" s="2">
        <v>-0.32055000000000078</v>
      </c>
      <c r="AB140" s="2">
        <v>-1.3527495390503981</v>
      </c>
    </row>
    <row r="141" spans="1:28" x14ac:dyDescent="0.2">
      <c r="A141" s="2">
        <v>68928</v>
      </c>
      <c r="C141" s="2" t="s">
        <v>69</v>
      </c>
      <c r="D141" s="2" t="s">
        <v>52</v>
      </c>
      <c r="E141" s="2" t="s">
        <v>24</v>
      </c>
      <c r="F141" s="11">
        <v>140</v>
      </c>
      <c r="G141" s="2" t="str">
        <f>IFERROR(VLOOKUP(F141,Picks!$A$2:$B$231,2,0),"")</f>
        <v>Massa</v>
      </c>
      <c r="H141" s="2">
        <v>34</v>
      </c>
      <c r="I141" s="4">
        <v>0.89473684210526316</v>
      </c>
      <c r="J141" s="4">
        <v>4.97</v>
      </c>
      <c r="K141" s="4">
        <v>4.4468421052631566</v>
      </c>
      <c r="L141" s="4">
        <v>1.4493248783931929</v>
      </c>
      <c r="M141" s="2" t="s">
        <v>620</v>
      </c>
      <c r="N141" s="2">
        <v>5</v>
      </c>
      <c r="O141" s="4">
        <v>-0.1087283166535324</v>
      </c>
      <c r="P141" s="4">
        <v>-0.1122738052400606</v>
      </c>
      <c r="Q141" s="4">
        <v>-0.45370694564760572</v>
      </c>
      <c r="R141" s="4">
        <v>0.399875905371257</v>
      </c>
      <c r="S141" s="2">
        <v>-0.57099999999999973</v>
      </c>
      <c r="T141" s="2">
        <v>0.28520199146514891</v>
      </c>
      <c r="U141" s="2" t="s">
        <v>620</v>
      </c>
      <c r="V141" s="2">
        <v>37</v>
      </c>
      <c r="W141" s="4">
        <v>0.41062855030718137</v>
      </c>
      <c r="X141" s="4">
        <v>0.42401861173024158</v>
      </c>
      <c r="Y141" s="4">
        <v>6.2789895552837274E-2</v>
      </c>
      <c r="Z141" s="4">
        <v>0.96586168599634803</v>
      </c>
      <c r="AA141" s="2">
        <v>6.9449999999998902E-2</v>
      </c>
      <c r="AB141" s="2">
        <v>1.045145197791707</v>
      </c>
    </row>
    <row r="142" spans="1:28" x14ac:dyDescent="0.2">
      <c r="A142" s="2">
        <v>84626</v>
      </c>
      <c r="C142" s="2" t="s">
        <v>144</v>
      </c>
      <c r="D142" s="2" t="s">
        <v>39</v>
      </c>
      <c r="E142" s="2" t="s">
        <v>29</v>
      </c>
      <c r="F142" s="11">
        <v>141</v>
      </c>
      <c r="G142" s="2" t="str">
        <f>IFERROR(VLOOKUP(F142,Picks!$A$2:$B$231,2,0),"")</f>
        <v>Massa</v>
      </c>
      <c r="I142" s="4"/>
      <c r="J142" s="4"/>
      <c r="K142" s="4"/>
      <c r="L142" s="4"/>
      <c r="M142" s="2" t="s">
        <v>647</v>
      </c>
      <c r="N142" s="2">
        <v>17</v>
      </c>
      <c r="O142" s="4"/>
      <c r="P142" s="4"/>
      <c r="Q142" s="4"/>
      <c r="R142" s="4"/>
      <c r="U142" s="2" t="s">
        <v>649</v>
      </c>
      <c r="V142" s="2">
        <v>82</v>
      </c>
      <c r="W142" s="4"/>
      <c r="X142" s="4"/>
      <c r="Y142" s="4"/>
      <c r="Z142" s="4"/>
    </row>
    <row r="143" spans="1:28" x14ac:dyDescent="0.2">
      <c r="A143" s="2">
        <v>111466</v>
      </c>
      <c r="C143" s="2" t="s">
        <v>418</v>
      </c>
      <c r="D143" s="2" t="s">
        <v>58</v>
      </c>
      <c r="E143" s="2" t="s">
        <v>53</v>
      </c>
      <c r="F143" s="2">
        <v>142</v>
      </c>
      <c r="G143" s="2" t="str">
        <f>IFERROR(VLOOKUP(F143,Picks!$A$2:$B$231,2,0),"")</f>
        <v>Vidal</v>
      </c>
      <c r="H143" s="2">
        <v>13</v>
      </c>
      <c r="I143" s="4">
        <v>0.34210526315789469</v>
      </c>
      <c r="J143" s="4">
        <v>4.66</v>
      </c>
      <c r="K143" s="4">
        <v>1.59421052631579</v>
      </c>
      <c r="L143" s="4">
        <v>3.4108443492725429</v>
      </c>
      <c r="M143" s="2" t="s">
        <v>648</v>
      </c>
      <c r="N143" s="2">
        <v>22</v>
      </c>
      <c r="O143" s="4">
        <v>-1.2340673922183161</v>
      </c>
      <c r="P143" s="4">
        <v>-1.537526587026099</v>
      </c>
      <c r="Q143" s="4">
        <v>-0.49644974974172562</v>
      </c>
      <c r="R143" s="4">
        <v>-3.0991418429526592</v>
      </c>
      <c r="S143" s="2">
        <v>-0.1969999999999992</v>
      </c>
      <c r="T143" s="2">
        <v>-1.7193946380591121</v>
      </c>
      <c r="U143" s="2" t="s">
        <v>621</v>
      </c>
      <c r="V143" s="2">
        <v>158</v>
      </c>
      <c r="W143" s="4">
        <v>-0.64101214614312596</v>
      </c>
      <c r="X143" s="4">
        <v>-0.79863808371930456</v>
      </c>
      <c r="Y143" s="4">
        <v>-0.21748177646127129</v>
      </c>
      <c r="Z143" s="4">
        <v>-1.670372544606354</v>
      </c>
      <c r="AA143" s="2">
        <v>-0.24055000000000071</v>
      </c>
      <c r="AB143" s="2">
        <v>-1.807486381155661</v>
      </c>
    </row>
    <row r="144" spans="1:28" x14ac:dyDescent="0.2">
      <c r="A144" s="2">
        <v>114040</v>
      </c>
      <c r="C144" s="2" t="s">
        <v>673</v>
      </c>
      <c r="D144" s="2" t="s">
        <v>26</v>
      </c>
      <c r="E144" s="2" t="s">
        <v>27</v>
      </c>
      <c r="F144" s="2">
        <v>143</v>
      </c>
      <c r="G144" s="2" t="str">
        <f>IFERROR(VLOOKUP(F144,Picks!$A$2:$B$231,2,0),"")</f>
        <v>Fellipe</v>
      </c>
      <c r="I144" s="4"/>
      <c r="J144" s="4"/>
      <c r="K144" s="4"/>
      <c r="L144" s="4"/>
      <c r="O144" s="4"/>
      <c r="P144" s="4"/>
      <c r="Q144" s="4"/>
      <c r="R144" s="4"/>
      <c r="W144" s="4"/>
      <c r="X144" s="4"/>
      <c r="Y144" s="4"/>
      <c r="Z144" s="4"/>
    </row>
    <row r="145" spans="1:28" x14ac:dyDescent="0.2">
      <c r="A145" s="2">
        <v>91607</v>
      </c>
      <c r="C145" s="2" t="s">
        <v>205</v>
      </c>
      <c r="D145" s="2" t="s">
        <v>26</v>
      </c>
      <c r="E145" s="2" t="s">
        <v>27</v>
      </c>
      <c r="F145" s="11">
        <v>144</v>
      </c>
      <c r="G145" s="2" t="str">
        <f>IFERROR(VLOOKUP(F145,Picks!$A$2:$B$231,2,0),"")</f>
        <v>Carlos</v>
      </c>
      <c r="H145" s="2">
        <v>29</v>
      </c>
      <c r="I145" s="4">
        <v>0.76315789473684215</v>
      </c>
      <c r="J145" s="4">
        <v>4.5999999999999996</v>
      </c>
      <c r="K145" s="4">
        <v>3.5105263157894742</v>
      </c>
      <c r="L145" s="4">
        <v>1.3795446555347559</v>
      </c>
      <c r="M145" s="2" t="s">
        <v>649</v>
      </c>
      <c r="N145" s="2">
        <v>23</v>
      </c>
      <c r="O145" s="4">
        <v>-0.74627748982611808</v>
      </c>
      <c r="P145" s="4">
        <v>-0.80335820434539618</v>
      </c>
      <c r="Q145" s="4">
        <v>-0.82320487952980959</v>
      </c>
      <c r="R145" s="4">
        <v>-0.77358819156877612</v>
      </c>
      <c r="S145" s="2">
        <v>-1.071333333333333</v>
      </c>
      <c r="T145" s="2">
        <v>-0.84840619486518198</v>
      </c>
      <c r="U145" s="2" t="s">
        <v>649</v>
      </c>
      <c r="V145" s="2">
        <v>67</v>
      </c>
      <c r="W145" s="4">
        <v>-0.1140814717598089</v>
      </c>
      <c r="X145" s="4">
        <v>-0.1228072500530521</v>
      </c>
      <c r="Y145" s="4">
        <v>-0.27172790652851858</v>
      </c>
      <c r="Z145" s="4">
        <v>0.1005737346601477</v>
      </c>
      <c r="AA145" s="2">
        <v>-0.30055000000000121</v>
      </c>
      <c r="AB145" s="2">
        <v>0.108829408318023</v>
      </c>
    </row>
    <row r="146" spans="1:28" x14ac:dyDescent="0.2">
      <c r="A146" s="2">
        <v>96870</v>
      </c>
      <c r="C146" s="2" t="s">
        <v>247</v>
      </c>
      <c r="D146" s="2" t="s">
        <v>47</v>
      </c>
      <c r="E146" s="2" t="s">
        <v>37</v>
      </c>
      <c r="F146" s="11">
        <v>145</v>
      </c>
      <c r="G146" s="2" t="str">
        <f>IFERROR(VLOOKUP(F146,Picks!$A$2:$B$231,2,0),"")</f>
        <v>Fernando</v>
      </c>
      <c r="H146" s="2">
        <v>13</v>
      </c>
      <c r="I146" s="4">
        <v>0.59090909090909094</v>
      </c>
      <c r="J146" s="4">
        <v>5.78</v>
      </c>
      <c r="K146" s="4">
        <v>3.415454545454546</v>
      </c>
      <c r="L146" s="4">
        <v>1.635864347830273</v>
      </c>
      <c r="M146" s="2" t="s">
        <v>648</v>
      </c>
      <c r="N146" s="2">
        <v>24</v>
      </c>
      <c r="O146" s="4">
        <v>-0.83459826078871369</v>
      </c>
      <c r="P146" s="4">
        <v>-0.95135553043273058</v>
      </c>
      <c r="Q146" s="4">
        <v>-0.62673617150975869</v>
      </c>
      <c r="R146" s="4">
        <v>-1.4382845688171879</v>
      </c>
      <c r="S146" s="2">
        <v>-0.55750000000000011</v>
      </c>
      <c r="T146" s="2">
        <v>-1.310138571954361</v>
      </c>
      <c r="U146" s="2" t="s">
        <v>647</v>
      </c>
      <c r="V146" s="2">
        <v>50</v>
      </c>
      <c r="W146" s="4">
        <v>0.42297984451285842</v>
      </c>
      <c r="X146" s="4">
        <v>0.48215319063641893</v>
      </c>
      <c r="Y146" s="4">
        <v>0.79511265146067067</v>
      </c>
      <c r="Z146" s="4">
        <v>1.271399940004128E-2</v>
      </c>
      <c r="AA146" s="2">
        <v>0.8794499999999994</v>
      </c>
      <c r="AB146" s="2">
        <v>1.3757637983095259E-2</v>
      </c>
    </row>
    <row r="147" spans="1:28" x14ac:dyDescent="0.2">
      <c r="A147" s="2">
        <v>101960</v>
      </c>
      <c r="C147" s="2" t="s">
        <v>105</v>
      </c>
      <c r="D147" s="2" t="s">
        <v>58</v>
      </c>
      <c r="E147" s="2" t="s">
        <v>27</v>
      </c>
      <c r="F147" s="11">
        <v>146</v>
      </c>
      <c r="G147" s="2" t="str">
        <f>IFERROR(VLOOKUP(F147,Picks!$A$2:$B$231,2,0),"")</f>
        <v>Rodolfo</v>
      </c>
      <c r="H147" s="2">
        <v>26</v>
      </c>
      <c r="I147" s="4">
        <v>0.68421052631578949</v>
      </c>
      <c r="J147" s="4">
        <v>4.5599999999999996</v>
      </c>
      <c r="K147" s="4">
        <v>3.12</v>
      </c>
      <c r="L147" s="4">
        <v>1.0739279281586309</v>
      </c>
      <c r="M147" s="2" t="s">
        <v>619</v>
      </c>
      <c r="N147" s="2">
        <v>29</v>
      </c>
      <c r="O147" s="4">
        <v>-0.87288596301281318</v>
      </c>
      <c r="P147" s="4">
        <v>-0.96423449402578199</v>
      </c>
      <c r="Q147" s="4">
        <v>-0.85394059376240983</v>
      </c>
      <c r="R147" s="4">
        <v>-1.1296753444208401</v>
      </c>
      <c r="S147" s="2">
        <v>-1.111333333333334</v>
      </c>
      <c r="T147" s="2">
        <v>-1.238932510654656</v>
      </c>
      <c r="U147" s="2" t="s">
        <v>649</v>
      </c>
      <c r="V147" s="2">
        <v>75</v>
      </c>
      <c r="W147" s="4">
        <v>-0.26149999872362523</v>
      </c>
      <c r="X147" s="4">
        <v>-0.28886627765981848</v>
      </c>
      <c r="Y147" s="4">
        <v>-0.30789199324001648</v>
      </c>
      <c r="Z147" s="4">
        <v>-0.26032770428952162</v>
      </c>
      <c r="AA147" s="2">
        <v>-0.34055000000000119</v>
      </c>
      <c r="AB147" s="2">
        <v>-0.28169690747145099</v>
      </c>
    </row>
    <row r="148" spans="1:28" x14ac:dyDescent="0.2">
      <c r="A148" s="2">
        <v>142279</v>
      </c>
      <c r="C148" s="2" t="s">
        <v>588</v>
      </c>
      <c r="D148" s="2" t="s">
        <v>67</v>
      </c>
      <c r="E148" s="2" t="s">
        <v>29</v>
      </c>
      <c r="F148" s="11">
        <v>147</v>
      </c>
      <c r="G148" s="2" t="str">
        <f>IFERROR(VLOOKUP(F148,Picks!$A$2:$B$231,2,0),"")</f>
        <v>Petindá</v>
      </c>
      <c r="H148" s="2">
        <v>33</v>
      </c>
      <c r="I148" s="4">
        <v>0.86842105263157898</v>
      </c>
      <c r="J148" s="4">
        <v>4.26</v>
      </c>
      <c r="K148" s="4">
        <v>3.6994736842105258</v>
      </c>
      <c r="L148" s="4">
        <v>1.2044778060247761</v>
      </c>
      <c r="M148" s="2" t="s">
        <v>649</v>
      </c>
      <c r="N148" s="2">
        <v>19</v>
      </c>
      <c r="O148" s="4">
        <v>-0.85601763806891995</v>
      </c>
      <c r="P148" s="4">
        <v>-0.89119644511284823</v>
      </c>
      <c r="Q148" s="4">
        <v>-1.084458450506911</v>
      </c>
      <c r="R148" s="4">
        <v>-0.60130343702175348</v>
      </c>
      <c r="S148" s="2">
        <v>-1.4113333333333331</v>
      </c>
      <c r="T148" s="2">
        <v>-0.65945882644412945</v>
      </c>
      <c r="U148" s="2" t="s">
        <v>619</v>
      </c>
      <c r="V148" s="2">
        <v>90</v>
      </c>
      <c r="W148" s="4">
        <v>-0.2280274843649544</v>
      </c>
      <c r="X148" s="4">
        <v>-0.2373984768731032</v>
      </c>
      <c r="Y148" s="4">
        <v>-0.57912264357625076</v>
      </c>
      <c r="Z148" s="4">
        <v>0.27518777318161808</v>
      </c>
      <c r="AA148" s="2">
        <v>-0.64055000000000106</v>
      </c>
      <c r="AB148" s="2">
        <v>0.29777677673907549</v>
      </c>
    </row>
    <row r="149" spans="1:28" x14ac:dyDescent="0.2">
      <c r="A149" s="2">
        <v>109336</v>
      </c>
      <c r="C149" s="2" t="s">
        <v>401</v>
      </c>
      <c r="D149" s="2" t="s">
        <v>63</v>
      </c>
      <c r="E149" s="2" t="s">
        <v>29</v>
      </c>
      <c r="F149" s="2">
        <v>148</v>
      </c>
      <c r="G149" s="2" t="str">
        <f>IFERROR(VLOOKUP(F149,Picks!$A$2:$B$231,2,0),"")</f>
        <v>Fochesato</v>
      </c>
      <c r="I149" s="4"/>
      <c r="J149" s="4"/>
      <c r="K149" s="4"/>
      <c r="L149" s="4"/>
      <c r="M149" s="2" t="s">
        <v>621</v>
      </c>
      <c r="N149" s="2">
        <v>71</v>
      </c>
      <c r="O149" s="4"/>
      <c r="P149" s="4"/>
      <c r="Q149" s="4"/>
      <c r="R149" s="4"/>
      <c r="U149" s="2" t="s">
        <v>655</v>
      </c>
      <c r="V149" s="2">
        <v>220</v>
      </c>
      <c r="W149" s="4"/>
      <c r="X149" s="4"/>
      <c r="Y149" s="4"/>
      <c r="Z149" s="4"/>
    </row>
    <row r="150" spans="1:28" x14ac:dyDescent="0.2">
      <c r="A150" s="2">
        <v>99228</v>
      </c>
      <c r="C150" s="2" t="s">
        <v>279</v>
      </c>
      <c r="D150" s="2" t="s">
        <v>47</v>
      </c>
      <c r="E150" s="2" t="s">
        <v>29</v>
      </c>
      <c r="F150" s="2">
        <v>149</v>
      </c>
      <c r="G150" s="2" t="str">
        <f>IFERROR(VLOOKUP(F150,Picks!$A$2:$B$231,2,0),"")</f>
        <v>Anuda</v>
      </c>
      <c r="H150" s="2">
        <v>19</v>
      </c>
      <c r="I150" s="4">
        <v>0.5</v>
      </c>
      <c r="J150" s="4">
        <v>2.56</v>
      </c>
      <c r="K150" s="4">
        <v>1.28</v>
      </c>
      <c r="L150" s="4">
        <v>0.5437534192433493</v>
      </c>
      <c r="O150" s="4">
        <v>-1.6351811231433371</v>
      </c>
      <c r="P150" s="4">
        <v>-1.9237424978156901</v>
      </c>
      <c r="Q150" s="4">
        <v>-1.8615259952195511</v>
      </c>
      <c r="R150" s="4">
        <v>-2.0170672517098991</v>
      </c>
      <c r="S150" s="2">
        <v>-2.317333333333333</v>
      </c>
      <c r="T150" s="2">
        <v>-2.3176202050878829</v>
      </c>
      <c r="W150" s="4">
        <v>-1.745863251187916</v>
      </c>
      <c r="X150" s="4">
        <v>-2.0539567661034308</v>
      </c>
      <c r="Y150" s="4">
        <v>-2.1160963288149119</v>
      </c>
      <c r="Z150" s="4">
        <v>-1.9607474220362091</v>
      </c>
      <c r="AA150" s="2">
        <v>-2.3405500000000008</v>
      </c>
      <c r="AB150" s="2">
        <v>-2.1216969074714509</v>
      </c>
    </row>
    <row r="151" spans="1:28" x14ac:dyDescent="0.2">
      <c r="A151" s="2">
        <v>68920</v>
      </c>
      <c r="C151" s="2" t="s">
        <v>68</v>
      </c>
      <c r="D151" s="2" t="s">
        <v>26</v>
      </c>
      <c r="E151" s="2" t="s">
        <v>27</v>
      </c>
      <c r="F151" s="2">
        <v>150</v>
      </c>
      <c r="G151" s="2" t="str">
        <f>IFERROR(VLOOKUP(F151,Picks!$A$2:$B$231,2,0),"")</f>
        <v>Sousa</v>
      </c>
      <c r="H151" s="2">
        <v>16</v>
      </c>
      <c r="I151" s="4">
        <v>0.42105263157894729</v>
      </c>
      <c r="J151" s="4">
        <v>3.4</v>
      </c>
      <c r="K151" s="4">
        <v>1.4315789473684211</v>
      </c>
      <c r="L151" s="4">
        <v>1.167597166693199</v>
      </c>
      <c r="M151" s="2" t="s">
        <v>621</v>
      </c>
      <c r="N151" s="2">
        <v>50</v>
      </c>
      <c r="O151" s="4">
        <v>-1.747530593574415</v>
      </c>
      <c r="P151" s="4">
        <v>-2.1148459412684</v>
      </c>
      <c r="Q151" s="4">
        <v>-1.7452763065078161</v>
      </c>
      <c r="R151" s="4">
        <v>-2.6692003934092772</v>
      </c>
      <c r="S151" s="2">
        <v>-2.2713333333333332</v>
      </c>
      <c r="T151" s="2">
        <v>-2.9273535632862351</v>
      </c>
      <c r="U151" s="2" t="s">
        <v>621</v>
      </c>
      <c r="V151" s="2">
        <v>174</v>
      </c>
      <c r="W151" s="4">
        <v>-1.2743914232244391</v>
      </c>
      <c r="X151" s="4">
        <v>-1.542257136386264</v>
      </c>
      <c r="Y151" s="4">
        <v>-1.3566505078734561</v>
      </c>
      <c r="Z151" s="4">
        <v>-1.8206670791554751</v>
      </c>
      <c r="AA151" s="2">
        <v>-1.5005500000000009</v>
      </c>
      <c r="AB151" s="2">
        <v>-1.9701179601030301</v>
      </c>
    </row>
    <row r="152" spans="1:28" x14ac:dyDescent="0.2">
      <c r="A152" s="2">
        <v>77485</v>
      </c>
      <c r="C152" s="2" t="s">
        <v>98</v>
      </c>
      <c r="D152" s="2" t="s">
        <v>99</v>
      </c>
      <c r="E152" s="2" t="s">
        <v>29</v>
      </c>
      <c r="F152" s="2">
        <v>151</v>
      </c>
      <c r="G152" s="2" t="str">
        <f>IFERROR(VLOOKUP(F152,Picks!$A$2:$B$231,2,0),"")</f>
        <v>Sousa</v>
      </c>
      <c r="H152" s="2">
        <v>22</v>
      </c>
      <c r="I152" s="4">
        <v>0.57894736842105265</v>
      </c>
      <c r="J152" s="4">
        <v>2.31</v>
      </c>
      <c r="K152" s="4">
        <v>1.337368421052632</v>
      </c>
      <c r="L152" s="4">
        <v>0.57887988420862757</v>
      </c>
      <c r="M152" s="2" t="s">
        <v>621</v>
      </c>
      <c r="N152" s="2">
        <v>65</v>
      </c>
      <c r="O152" s="4">
        <v>-1.7685699135034969</v>
      </c>
      <c r="P152" s="4">
        <v>-2.0242667684678581</v>
      </c>
      <c r="Q152" s="4">
        <v>-2.062352303679658</v>
      </c>
      <c r="R152" s="4">
        <v>-1.967138465650156</v>
      </c>
      <c r="S152" s="2">
        <v>-2.567333333333333</v>
      </c>
      <c r="T152" s="2">
        <v>-2.2602517840352512</v>
      </c>
      <c r="U152" s="2" t="s">
        <v>655</v>
      </c>
      <c r="V152" s="2">
        <v>223</v>
      </c>
      <c r="W152" s="4">
        <v>-1.8944666858530079</v>
      </c>
      <c r="X152" s="4">
        <v>-2.1683654838076589</v>
      </c>
      <c r="Y152" s="4">
        <v>-2.3421218707617739</v>
      </c>
      <c r="Z152" s="4">
        <v>-1.9077309033764871</v>
      </c>
      <c r="AA152" s="2">
        <v>-2.5905500000000008</v>
      </c>
      <c r="AB152" s="2">
        <v>-2.0643284864188192</v>
      </c>
    </row>
    <row r="153" spans="1:28" x14ac:dyDescent="0.2">
      <c r="A153" s="2">
        <v>124526</v>
      </c>
      <c r="C153" s="2" t="s">
        <v>513</v>
      </c>
      <c r="D153" s="2" t="s">
        <v>65</v>
      </c>
      <c r="E153" s="2" t="s">
        <v>37</v>
      </c>
      <c r="F153" s="2">
        <v>152</v>
      </c>
      <c r="G153" s="2" t="str">
        <f>IFERROR(VLOOKUP(F153,Picks!$A$2:$B$231,2,0),"")</f>
        <v>Anuda</v>
      </c>
      <c r="H153" s="2">
        <v>26</v>
      </c>
      <c r="I153" s="4">
        <v>0.68421052631578949</v>
      </c>
      <c r="J153" s="4">
        <v>5</v>
      </c>
      <c r="K153" s="4">
        <v>3.4210526315789469</v>
      </c>
      <c r="L153" s="4">
        <v>1.3698165714959101</v>
      </c>
      <c r="O153" s="4">
        <v>-1.3352798157338499</v>
      </c>
      <c r="P153" s="4">
        <v>-1.4750184011013461</v>
      </c>
      <c r="Q153" s="4">
        <v>-1.5036047164023361</v>
      </c>
      <c r="R153" s="4">
        <v>-1.432138928149862</v>
      </c>
      <c r="S153" s="2">
        <v>-1.3374999999999999</v>
      </c>
      <c r="T153" s="2">
        <v>-1.304540485829959</v>
      </c>
      <c r="W153" s="4">
        <v>5.5314063725941547E-2</v>
      </c>
      <c r="X153" s="4">
        <v>6.1102744813540083E-2</v>
      </c>
      <c r="Y153" s="4">
        <v>8.9912960586460935E-2</v>
      </c>
      <c r="Z153" s="4">
        <v>1.7887421154158801E-2</v>
      </c>
      <c r="AA153" s="2">
        <v>9.944999999999915E-2</v>
      </c>
      <c r="AB153" s="2">
        <v>1.9355724107496641E-2</v>
      </c>
    </row>
    <row r="154" spans="1:28" x14ac:dyDescent="0.2">
      <c r="A154" s="2">
        <v>117910</v>
      </c>
      <c r="C154" s="2" t="s">
        <v>470</v>
      </c>
      <c r="D154" s="2" t="s">
        <v>99</v>
      </c>
      <c r="E154" s="2" t="s">
        <v>29</v>
      </c>
      <c r="F154" s="2">
        <v>153</v>
      </c>
      <c r="G154" s="2" t="str">
        <f>IFERROR(VLOOKUP(F154,Picks!$A$2:$B$231,2,0),"")</f>
        <v>Fochesato</v>
      </c>
      <c r="H154" s="2">
        <v>33</v>
      </c>
      <c r="I154" s="4">
        <v>0.86842105263157898</v>
      </c>
      <c r="J154" s="4">
        <v>3.4</v>
      </c>
      <c r="K154" s="4">
        <v>2.9526315789473681</v>
      </c>
      <c r="L154" s="4">
        <v>1.094028957517214</v>
      </c>
      <c r="M154" s="2" t="s">
        <v>619</v>
      </c>
      <c r="N154" s="2">
        <v>29</v>
      </c>
      <c r="O154" s="4">
        <v>-0.89961734259357007</v>
      </c>
      <c r="P154" s="4">
        <v>-0.93658791831659349</v>
      </c>
      <c r="Q154" s="4">
        <v>-1.1867495987935921</v>
      </c>
      <c r="R154" s="4">
        <v>-0.56134539760109581</v>
      </c>
      <c r="S154" s="2">
        <v>-1.4773333333333341</v>
      </c>
      <c r="T154" s="2">
        <v>-0.64498862614051466</v>
      </c>
      <c r="U154" s="2" t="s">
        <v>653</v>
      </c>
      <c r="V154" s="2">
        <v>134</v>
      </c>
      <c r="W154" s="4">
        <v>-0.94130638068189987</v>
      </c>
      <c r="X154" s="4">
        <v>-0.97999020454553964</v>
      </c>
      <c r="Y154" s="4">
        <v>-1.3566505078734561</v>
      </c>
      <c r="Z154" s="4">
        <v>-0.41499974955366498</v>
      </c>
      <c r="AA154" s="2">
        <v>-1.5005500000000009</v>
      </c>
      <c r="AB154" s="2">
        <v>-0.44906532852408221</v>
      </c>
    </row>
    <row r="155" spans="1:28" x14ac:dyDescent="0.2">
      <c r="A155" s="2">
        <v>78445</v>
      </c>
      <c r="C155" s="2" t="s">
        <v>106</v>
      </c>
      <c r="D155" s="2" t="s">
        <v>23</v>
      </c>
      <c r="E155" s="2" t="s">
        <v>37</v>
      </c>
      <c r="F155" s="11">
        <v>154</v>
      </c>
      <c r="G155" s="2" t="str">
        <f>IFERROR(VLOOKUP(F155,Picks!$A$2:$B$231,2,0),"")</f>
        <v>Petindá</v>
      </c>
      <c r="H155" s="2">
        <v>26</v>
      </c>
      <c r="I155" s="4">
        <v>0.68421052631578949</v>
      </c>
      <c r="J155" s="4">
        <v>6.47</v>
      </c>
      <c r="K155" s="4">
        <v>4.4268421052631579</v>
      </c>
      <c r="L155" s="4">
        <v>1.346807932630659</v>
      </c>
      <c r="M155" s="2" t="s">
        <v>620</v>
      </c>
      <c r="N155" s="2">
        <v>6</v>
      </c>
      <c r="O155" s="4">
        <v>-3.7854232380353833E-2</v>
      </c>
      <c r="P155" s="4">
        <v>-4.1815721815507127E-2</v>
      </c>
      <c r="Q155" s="4">
        <v>0.14895523358752041</v>
      </c>
      <c r="R155" s="4">
        <v>-0.32797215492004839</v>
      </c>
      <c r="S155" s="2">
        <v>0.1324999999999994</v>
      </c>
      <c r="T155" s="2">
        <v>-0.29875101214574862</v>
      </c>
      <c r="U155" s="2" t="s">
        <v>631</v>
      </c>
      <c r="V155" s="2">
        <v>25</v>
      </c>
      <c r="W155" s="4">
        <v>1.1137610450915389</v>
      </c>
      <c r="X155" s="4">
        <v>1.2303174335313509</v>
      </c>
      <c r="Y155" s="4">
        <v>1.4189431472340091</v>
      </c>
      <c r="Z155" s="4">
        <v>0.94737886297736273</v>
      </c>
      <c r="AA155" s="2">
        <v>1.5694499999999989</v>
      </c>
      <c r="AB155" s="2">
        <v>1.025145197791707</v>
      </c>
    </row>
    <row r="156" spans="1:28" x14ac:dyDescent="0.2">
      <c r="A156" s="2">
        <v>71631</v>
      </c>
      <c r="C156" s="2" t="s">
        <v>84</v>
      </c>
      <c r="D156" s="2" t="s">
        <v>65</v>
      </c>
      <c r="E156" s="2" t="s">
        <v>24</v>
      </c>
      <c r="F156" s="2">
        <v>155</v>
      </c>
      <c r="G156" s="2" t="str">
        <f>IFERROR(VLOOKUP(F156,Picks!$A$2:$B$231,2,0),"")</f>
        <v>Rodolfo</v>
      </c>
      <c r="H156" s="2">
        <v>25</v>
      </c>
      <c r="I156" s="4">
        <v>0.65789473684210531</v>
      </c>
      <c r="J156" s="4">
        <v>4.3600000000000003</v>
      </c>
      <c r="K156" s="4">
        <v>2.8684210526315792</v>
      </c>
      <c r="L156" s="4">
        <v>1.431265815630657</v>
      </c>
      <c r="M156" s="2" t="s">
        <v>621</v>
      </c>
      <c r="N156" s="2">
        <v>12</v>
      </c>
      <c r="O156" s="4">
        <v>-1.1560977067812139</v>
      </c>
      <c r="P156" s="4">
        <v>-1.2883200251520861</v>
      </c>
      <c r="Q156" s="4">
        <v>-0.93840263189110718</v>
      </c>
      <c r="R156" s="4">
        <v>-1.813196115043554</v>
      </c>
      <c r="S156" s="2">
        <v>-1.1809999999999989</v>
      </c>
      <c r="T156" s="2">
        <v>-1.2932190611664289</v>
      </c>
      <c r="U156" s="2" t="s">
        <v>648</v>
      </c>
      <c r="V156" s="2">
        <v>117</v>
      </c>
      <c r="W156" s="4">
        <v>-0.44003027751510698</v>
      </c>
      <c r="X156" s="4">
        <v>-0.49035632098457682</v>
      </c>
      <c r="Y156" s="4">
        <v>-0.48871242679750548</v>
      </c>
      <c r="Z156" s="4">
        <v>-0.49282216226518372</v>
      </c>
      <c r="AA156" s="2">
        <v>-0.54055000000000053</v>
      </c>
      <c r="AB156" s="2">
        <v>-0.5332758548398715</v>
      </c>
    </row>
    <row r="157" spans="1:28" x14ac:dyDescent="0.2">
      <c r="A157" s="2">
        <v>111682</v>
      </c>
      <c r="C157" s="2" t="s">
        <v>419</v>
      </c>
      <c r="D157" s="2" t="s">
        <v>67</v>
      </c>
      <c r="E157" s="2" t="s">
        <v>29</v>
      </c>
      <c r="F157" s="2">
        <v>156</v>
      </c>
      <c r="G157" s="2" t="str">
        <f>IFERROR(VLOOKUP(F157,Picks!$A$2:$B$231,2,0),"")</f>
        <v>Fernando</v>
      </c>
      <c r="I157" s="4"/>
      <c r="J157" s="4"/>
      <c r="K157" s="4"/>
      <c r="L157" s="4"/>
      <c r="O157" s="4"/>
      <c r="P157" s="4"/>
      <c r="Q157" s="4"/>
      <c r="R157" s="4"/>
      <c r="W157" s="4"/>
      <c r="X157" s="4"/>
      <c r="Y157" s="4"/>
      <c r="Z157" s="4"/>
    </row>
    <row r="158" spans="1:28" x14ac:dyDescent="0.2">
      <c r="A158" s="2">
        <v>72460</v>
      </c>
      <c r="C158" s="2" t="s">
        <v>90</v>
      </c>
      <c r="D158" s="2" t="s">
        <v>26</v>
      </c>
      <c r="E158" s="2" t="s">
        <v>29</v>
      </c>
      <c r="F158" s="2">
        <v>157</v>
      </c>
      <c r="G158" s="2" t="str">
        <f>IFERROR(VLOOKUP(F158,Picks!$A$2:$B$231,2,0),"")</f>
        <v>Carlos</v>
      </c>
      <c r="H158" s="2">
        <v>23</v>
      </c>
      <c r="I158" s="4">
        <v>0.60526315789473684</v>
      </c>
      <c r="J158" s="4">
        <v>1</v>
      </c>
      <c r="K158" s="4">
        <v>0.60526315789473684</v>
      </c>
      <c r="L158" s="4">
        <v>0.31859857153890181</v>
      </c>
      <c r="M158" s="2" t="s">
        <v>656</v>
      </c>
      <c r="N158" s="2">
        <v>100</v>
      </c>
      <c r="O158" s="4">
        <v>-2.5658624341327458</v>
      </c>
      <c r="P158" s="4">
        <v>-2.910530522299831</v>
      </c>
      <c r="Q158" s="4">
        <v>-3.1146821600106191</v>
      </c>
      <c r="R158" s="4">
        <v>-2.6043030657336508</v>
      </c>
      <c r="S158" s="2">
        <v>-3.877333333333334</v>
      </c>
      <c r="T158" s="2">
        <v>-2.992357047193146</v>
      </c>
      <c r="U158" s="2" t="s">
        <v>656</v>
      </c>
      <c r="V158" s="2">
        <v>299</v>
      </c>
      <c r="W158" s="4">
        <v>-2.776636240379267</v>
      </c>
      <c r="X158" s="4">
        <v>-3.1496172278929002</v>
      </c>
      <c r="Y158" s="4">
        <v>-3.526495710563331</v>
      </c>
      <c r="Z158" s="4">
        <v>-2.5842995038872538</v>
      </c>
      <c r="AA158" s="2">
        <v>-3.9005500000000008</v>
      </c>
      <c r="AB158" s="2">
        <v>-2.796433749576714</v>
      </c>
    </row>
    <row r="159" spans="1:28" x14ac:dyDescent="0.2">
      <c r="A159" s="2">
        <v>101290</v>
      </c>
      <c r="C159" s="2" t="s">
        <v>296</v>
      </c>
      <c r="D159" s="2" t="s">
        <v>52</v>
      </c>
      <c r="E159" s="2" t="s">
        <v>27</v>
      </c>
      <c r="F159" s="2">
        <v>158</v>
      </c>
      <c r="G159" s="2" t="str">
        <f>IFERROR(VLOOKUP(F159,Picks!$A$2:$B$231,2,0),"")</f>
        <v>Fellipe</v>
      </c>
      <c r="H159" s="2">
        <v>27</v>
      </c>
      <c r="I159" s="4">
        <v>0.71052631578947367</v>
      </c>
      <c r="J159" s="4">
        <v>4.5599999999999996</v>
      </c>
      <c r="K159" s="4">
        <v>3.24</v>
      </c>
      <c r="L159" s="4">
        <v>1.9881784517964589</v>
      </c>
      <c r="M159" s="2" t="s">
        <v>619</v>
      </c>
      <c r="N159" s="2">
        <v>27</v>
      </c>
      <c r="O159" s="4">
        <v>-0.84053211675690387</v>
      </c>
      <c r="P159" s="4">
        <v>-0.92046744774531264</v>
      </c>
      <c r="Q159" s="4">
        <v>-0.85394059376240983</v>
      </c>
      <c r="R159" s="4">
        <v>-1.020257728719667</v>
      </c>
      <c r="S159" s="2">
        <v>-1.111333333333334</v>
      </c>
      <c r="T159" s="2">
        <v>-1.1189325106546559</v>
      </c>
      <c r="U159" s="2" t="s">
        <v>649</v>
      </c>
      <c r="V159" s="2">
        <v>72</v>
      </c>
      <c r="W159" s="4">
        <v>-0.22327395615196241</v>
      </c>
      <c r="X159" s="4">
        <v>-0.2445075024142527</v>
      </c>
      <c r="Y159" s="4">
        <v>-0.30789199324001648</v>
      </c>
      <c r="Z159" s="4">
        <v>-0.14943076617560699</v>
      </c>
      <c r="AA159" s="2">
        <v>-0.34055000000000119</v>
      </c>
      <c r="AB159" s="2">
        <v>-0.16169690747145091</v>
      </c>
    </row>
    <row r="160" spans="1:28" x14ac:dyDescent="0.2">
      <c r="A160" s="2">
        <v>142004</v>
      </c>
      <c r="C160" s="2" t="s">
        <v>585</v>
      </c>
      <c r="D160" s="2" t="s">
        <v>31</v>
      </c>
      <c r="E160" s="2" t="s">
        <v>27</v>
      </c>
      <c r="F160" s="2">
        <v>159</v>
      </c>
      <c r="G160" s="2" t="str">
        <f>IFERROR(VLOOKUP(F160,Picks!$A$2:$B$231,2,0),"")</f>
        <v>Vidal</v>
      </c>
      <c r="H160" s="2">
        <v>21</v>
      </c>
      <c r="I160" s="4">
        <v>0.55263157894736847</v>
      </c>
      <c r="J160" s="4">
        <v>3.5</v>
      </c>
      <c r="K160" s="4">
        <v>1.93421052631579</v>
      </c>
      <c r="L160" s="4">
        <v>0.69002695434601657</v>
      </c>
      <c r="M160" s="2" t="s">
        <v>657</v>
      </c>
      <c r="N160" s="2">
        <v>58</v>
      </c>
      <c r="O160" s="4">
        <v>-1.632376679897386</v>
      </c>
      <c r="P160" s="4">
        <v>-1.8854198734377099</v>
      </c>
      <c r="Q160" s="4">
        <v>-1.668437020926316</v>
      </c>
      <c r="R160" s="4">
        <v>-2.2108941522048009</v>
      </c>
      <c r="S160" s="2">
        <v>-2.1713333333333331</v>
      </c>
      <c r="T160" s="2">
        <v>-2.4247219843388659</v>
      </c>
      <c r="U160" s="2" t="s">
        <v>657</v>
      </c>
      <c r="V160" s="2">
        <v>229</v>
      </c>
      <c r="W160" s="4">
        <v>-1.127439707037414</v>
      </c>
      <c r="X160" s="4">
        <v>-1.3022099959702651</v>
      </c>
      <c r="Y160" s="4">
        <v>-1.266240291094711</v>
      </c>
      <c r="Z160" s="4">
        <v>-1.3561645532835971</v>
      </c>
      <c r="AA160" s="2">
        <v>-1.4005500000000011</v>
      </c>
      <c r="AB160" s="2">
        <v>-1.4674863811556611</v>
      </c>
    </row>
    <row r="161" spans="1:28" x14ac:dyDescent="0.2">
      <c r="A161" s="2">
        <v>108713</v>
      </c>
      <c r="C161" s="2" t="s">
        <v>397</v>
      </c>
      <c r="D161" s="2" t="s">
        <v>41</v>
      </c>
      <c r="E161" s="2" t="s">
        <v>27</v>
      </c>
      <c r="F161" s="11">
        <v>160</v>
      </c>
      <c r="G161" s="2" t="str">
        <f>IFERROR(VLOOKUP(F161,Picks!$A$2:$B$231,2,0),"")</f>
        <v>Massa</v>
      </c>
      <c r="H161" s="2">
        <v>35</v>
      </c>
      <c r="I161" s="4">
        <v>0.92105263157894735</v>
      </c>
      <c r="J161" s="4">
        <v>4.63</v>
      </c>
      <c r="K161" s="4">
        <v>4.2644736842105262</v>
      </c>
      <c r="L161" s="4">
        <v>1.2673515187102751</v>
      </c>
      <c r="M161" s="2" t="s">
        <v>620</v>
      </c>
      <c r="N161" s="2">
        <v>15</v>
      </c>
      <c r="O161" s="4">
        <v>-0.50235683428656086</v>
      </c>
      <c r="P161" s="4">
        <v>-0.5145433882180408</v>
      </c>
      <c r="Q161" s="4">
        <v>-0.80015309385535927</v>
      </c>
      <c r="R161" s="4">
        <v>-8.6128829762063153E-2</v>
      </c>
      <c r="S161" s="2">
        <v>-1.041333333333333</v>
      </c>
      <c r="T161" s="2">
        <v>-9.4458826444129507E-2</v>
      </c>
      <c r="U161" s="2" t="s">
        <v>647</v>
      </c>
      <c r="V161" s="2">
        <v>52</v>
      </c>
      <c r="W161" s="4">
        <v>0.1680904388575854</v>
      </c>
      <c r="X161" s="4">
        <v>0.17216810449024919</v>
      </c>
      <c r="Y161" s="4">
        <v>-0.24460484149489489</v>
      </c>
      <c r="Z161" s="4">
        <v>0.7973275234679652</v>
      </c>
      <c r="AA161" s="2">
        <v>-0.27055000000000101</v>
      </c>
      <c r="AB161" s="2">
        <v>0.86277677673907549</v>
      </c>
    </row>
    <row r="162" spans="1:28" x14ac:dyDescent="0.2">
      <c r="A162" s="2">
        <v>141611</v>
      </c>
      <c r="C162" s="2" t="s">
        <v>581</v>
      </c>
      <c r="D162" s="2" t="s">
        <v>52</v>
      </c>
      <c r="E162" s="2" t="s">
        <v>37</v>
      </c>
      <c r="F162" s="11">
        <v>161</v>
      </c>
      <c r="G162" s="2" t="str">
        <f>IFERROR(VLOOKUP(F162,Picks!$A$2:$B$231,2,0),"")</f>
        <v>Massa</v>
      </c>
      <c r="H162" s="2">
        <v>9</v>
      </c>
      <c r="I162" s="4">
        <v>0.32142857142857151</v>
      </c>
      <c r="J162" s="4">
        <v>7.69</v>
      </c>
      <c r="K162" s="4">
        <v>2.4717857142857151</v>
      </c>
      <c r="L162" s="4">
        <v>3.8874826936105702</v>
      </c>
      <c r="M162" s="2" t="s">
        <v>647</v>
      </c>
      <c r="N162" s="2">
        <v>10</v>
      </c>
      <c r="O162" s="4">
        <v>-6.1660537348039307E-2</v>
      </c>
      <c r="P162" s="4">
        <v>-7.7421302499780298E-2</v>
      </c>
      <c r="Q162" s="4">
        <v>1.5204675730348849</v>
      </c>
      <c r="R162" s="4">
        <v>-2.4742546158017782</v>
      </c>
      <c r="S162" s="2">
        <v>1.3525</v>
      </c>
      <c r="T162" s="2">
        <v>-2.2538074031231918</v>
      </c>
      <c r="U162" s="2" t="s">
        <v>620</v>
      </c>
      <c r="V162" s="2">
        <v>30</v>
      </c>
      <c r="W162" s="4">
        <v>0.93136029246259722</v>
      </c>
      <c r="X162" s="4">
        <v>1.1694209950203009</v>
      </c>
      <c r="Y162" s="4">
        <v>2.521947791934696</v>
      </c>
      <c r="Z162" s="4">
        <v>-0.85936920035129072</v>
      </c>
      <c r="AA162" s="2">
        <v>2.78945</v>
      </c>
      <c r="AB162" s="2">
        <v>-0.92991119318573601</v>
      </c>
    </row>
    <row r="163" spans="1:28" x14ac:dyDescent="0.2">
      <c r="A163" s="2">
        <v>106708</v>
      </c>
      <c r="C163" s="2" t="s">
        <v>668</v>
      </c>
      <c r="D163" s="2" t="s">
        <v>41</v>
      </c>
      <c r="E163" s="2" t="s">
        <v>37</v>
      </c>
      <c r="F163" s="2">
        <v>162</v>
      </c>
      <c r="G163" s="2" t="str">
        <f>IFERROR(VLOOKUP(F163,Picks!$A$2:$B$231,2,0),"")</f>
        <v>Vidal</v>
      </c>
      <c r="I163" s="4"/>
      <c r="J163" s="4"/>
      <c r="K163" s="4"/>
      <c r="L163" s="4"/>
      <c r="M163" s="2" t="s">
        <v>621</v>
      </c>
      <c r="N163" s="2">
        <v>35</v>
      </c>
      <c r="O163" s="4"/>
      <c r="P163" s="4"/>
      <c r="Q163" s="4"/>
      <c r="R163" s="4"/>
      <c r="U163" s="2" t="s">
        <v>621</v>
      </c>
      <c r="V163" s="2">
        <v>154</v>
      </c>
      <c r="W163" s="4"/>
      <c r="X163" s="4"/>
      <c r="Y163" s="4"/>
      <c r="Z163" s="4"/>
    </row>
    <row r="164" spans="1:28" x14ac:dyDescent="0.2">
      <c r="A164" s="2">
        <v>99440</v>
      </c>
      <c r="C164" s="2" t="s">
        <v>282</v>
      </c>
      <c r="D164" s="2" t="s">
        <v>33</v>
      </c>
      <c r="E164" s="2" t="s">
        <v>29</v>
      </c>
      <c r="F164" s="11">
        <v>163</v>
      </c>
      <c r="G164" s="2" t="str">
        <f>IFERROR(VLOOKUP(F164,Picks!$A$2:$B$231,2,0),"")</f>
        <v>Fellipe</v>
      </c>
      <c r="H164" s="2">
        <v>26</v>
      </c>
      <c r="I164" s="4">
        <v>0.68421052631578949</v>
      </c>
      <c r="J164" s="4">
        <v>4.04</v>
      </c>
      <c r="K164" s="4">
        <v>2.764210526315789</v>
      </c>
      <c r="L164" s="4">
        <v>1.0206190072180401</v>
      </c>
      <c r="M164" s="2" t="s">
        <v>649</v>
      </c>
      <c r="N164" s="2">
        <v>20</v>
      </c>
      <c r="O164" s="4">
        <v>-0.62799302363756027</v>
      </c>
      <c r="P164" s="4">
        <v>-0.69371322378567701</v>
      </c>
      <c r="Q164" s="4">
        <v>-0.67263424913571834</v>
      </c>
      <c r="R164" s="4">
        <v>-0.72533168576061491</v>
      </c>
      <c r="S164" s="2">
        <v>-0.83733333333333348</v>
      </c>
      <c r="T164" s="2">
        <v>-0.83340967877209371</v>
      </c>
      <c r="U164" s="2" t="s">
        <v>619</v>
      </c>
      <c r="V164" s="2">
        <v>97</v>
      </c>
      <c r="W164" s="4">
        <v>-0.63591661798220345</v>
      </c>
      <c r="X164" s="4">
        <v>-0.70246603149196885</v>
      </c>
      <c r="Y164" s="4">
        <v>-0.77802512048948913</v>
      </c>
      <c r="Z164" s="4">
        <v>-0.58912739799568858</v>
      </c>
      <c r="AA164" s="2">
        <v>-0.86055000000000081</v>
      </c>
      <c r="AB164" s="2">
        <v>-0.63748638115566125</v>
      </c>
    </row>
    <row r="165" spans="1:28" x14ac:dyDescent="0.2">
      <c r="A165" s="2">
        <v>123869</v>
      </c>
      <c r="C165" s="2" t="s">
        <v>407</v>
      </c>
      <c r="D165" s="2" t="s">
        <v>43</v>
      </c>
      <c r="E165" s="2" t="s">
        <v>53</v>
      </c>
      <c r="F165" s="2">
        <v>164</v>
      </c>
      <c r="G165" s="2" t="str">
        <f>IFERROR(VLOOKUP(F165,Picks!$A$2:$B$231,2,0),"")</f>
        <v>Carlos</v>
      </c>
      <c r="I165" s="4"/>
      <c r="J165" s="4"/>
      <c r="K165" s="4"/>
      <c r="L165" s="4"/>
      <c r="M165" s="2" t="s">
        <v>621</v>
      </c>
      <c r="N165" s="2">
        <v>39</v>
      </c>
      <c r="O165" s="4"/>
      <c r="P165" s="4"/>
      <c r="Q165" s="4"/>
      <c r="R165" s="4"/>
      <c r="U165" s="2" t="s">
        <v>655</v>
      </c>
      <c r="V165" s="2">
        <v>208</v>
      </c>
      <c r="W165" s="4"/>
      <c r="X165" s="4"/>
      <c r="Y165" s="4"/>
      <c r="Z165" s="4"/>
    </row>
    <row r="166" spans="1:28" x14ac:dyDescent="0.2">
      <c r="A166" s="2">
        <v>69012</v>
      </c>
      <c r="C166" s="2" t="s">
        <v>72</v>
      </c>
      <c r="D166" s="2" t="s">
        <v>43</v>
      </c>
      <c r="E166" s="2" t="s">
        <v>24</v>
      </c>
      <c r="F166" s="2">
        <v>165</v>
      </c>
      <c r="G166" s="2" t="str">
        <f>IFERROR(VLOOKUP(F166,Picks!$A$2:$B$231,2,0),"")</f>
        <v>Fernando</v>
      </c>
      <c r="I166" s="4"/>
      <c r="J166" s="4"/>
      <c r="K166" s="4"/>
      <c r="L166" s="4"/>
      <c r="M166" s="2" t="s">
        <v>619</v>
      </c>
      <c r="N166" s="2">
        <v>10</v>
      </c>
      <c r="O166" s="4"/>
      <c r="P166" s="4"/>
      <c r="Q166" s="4"/>
      <c r="R166" s="4"/>
      <c r="U166" s="2" t="s">
        <v>648</v>
      </c>
      <c r="V166" s="2">
        <v>110</v>
      </c>
      <c r="W166" s="4"/>
      <c r="X166" s="4"/>
      <c r="Y166" s="4"/>
      <c r="Z166" s="4"/>
    </row>
    <row r="167" spans="1:28" x14ac:dyDescent="0.2">
      <c r="A167" s="2">
        <v>69208</v>
      </c>
      <c r="C167" s="2" t="s">
        <v>625</v>
      </c>
      <c r="D167" s="2" t="s">
        <v>99</v>
      </c>
      <c r="E167" s="2" t="s">
        <v>53</v>
      </c>
      <c r="F167" s="11">
        <v>166</v>
      </c>
      <c r="G167" s="2" t="str">
        <f>IFERROR(VLOOKUP(F167,Picks!$A$2:$B$231,2,0),"")</f>
        <v>Rodolfo</v>
      </c>
      <c r="I167" s="4"/>
      <c r="J167" s="4"/>
      <c r="K167" s="4"/>
      <c r="L167" s="4"/>
      <c r="M167" s="2" t="s">
        <v>619</v>
      </c>
      <c r="N167" s="2">
        <v>17</v>
      </c>
      <c r="O167" s="4"/>
      <c r="P167" s="4"/>
      <c r="Q167" s="4"/>
      <c r="R167" s="4"/>
      <c r="U167" s="2" t="s">
        <v>653</v>
      </c>
      <c r="V167" s="2">
        <v>128</v>
      </c>
      <c r="W167" s="4"/>
      <c r="X167" s="4"/>
      <c r="Y167" s="4"/>
      <c r="Z167" s="4"/>
    </row>
    <row r="168" spans="1:28" x14ac:dyDescent="0.2">
      <c r="A168" s="2">
        <v>101908</v>
      </c>
      <c r="C168" s="2" t="s">
        <v>308</v>
      </c>
      <c r="D168" s="2" t="s">
        <v>41</v>
      </c>
      <c r="E168" s="2" t="s">
        <v>53</v>
      </c>
      <c r="F168" s="2">
        <v>167</v>
      </c>
      <c r="G168" s="2" t="str">
        <f>IFERROR(VLOOKUP(F168,Picks!$A$2:$B$231,2,0),"")</f>
        <v>Petindá</v>
      </c>
      <c r="H168" s="2">
        <v>33</v>
      </c>
      <c r="I168" s="4">
        <v>0.86842105263157898</v>
      </c>
      <c r="J168" s="4">
        <v>3.77</v>
      </c>
      <c r="K168" s="4">
        <v>3.2739473684210529</v>
      </c>
      <c r="L168" s="4">
        <v>0.79788750245371987</v>
      </c>
      <c r="M168" s="2" t="s">
        <v>619</v>
      </c>
      <c r="N168" s="2">
        <v>15</v>
      </c>
      <c r="O168" s="4">
        <v>-1.606162262568047</v>
      </c>
      <c r="P168" s="4">
        <v>-1.672168930892761</v>
      </c>
      <c r="Q168" s="4">
        <v>-2.739293796798262</v>
      </c>
      <c r="R168" s="4">
        <v>-7.148163203450926E-2</v>
      </c>
      <c r="S168" s="2">
        <v>-1.0869999999999991</v>
      </c>
      <c r="T168" s="2">
        <v>-3.9657795953848218E-2</v>
      </c>
      <c r="U168" s="2" t="s">
        <v>621</v>
      </c>
      <c r="V168" s="2">
        <v>157</v>
      </c>
      <c r="W168" s="4">
        <v>-0.6344305764525161</v>
      </c>
      <c r="X168" s="4">
        <v>-0.66050306589577024</v>
      </c>
      <c r="Y168" s="4">
        <v>-1.0221327057920999</v>
      </c>
      <c r="Z168" s="4">
        <v>-0.11805860605127549</v>
      </c>
      <c r="AA168" s="2">
        <v>-1.1305500000000011</v>
      </c>
      <c r="AB168" s="2">
        <v>-0.12774953905039779</v>
      </c>
    </row>
    <row r="169" spans="1:28" x14ac:dyDescent="0.2">
      <c r="A169" s="2">
        <v>97460</v>
      </c>
      <c r="C169" s="2" t="s">
        <v>252</v>
      </c>
      <c r="D169" s="2" t="s">
        <v>41</v>
      </c>
      <c r="E169" s="2" t="s">
        <v>53</v>
      </c>
      <c r="F169" s="2">
        <v>168</v>
      </c>
      <c r="G169" s="2" t="str">
        <f>IFERROR(VLOOKUP(F169,Picks!$A$2:$B$231,2,0),"")</f>
        <v>Fochesato</v>
      </c>
      <c r="H169" s="2">
        <v>31</v>
      </c>
      <c r="I169" s="4">
        <v>0.81578947368421051</v>
      </c>
      <c r="J169" s="4">
        <v>3.25</v>
      </c>
      <c r="K169" s="4">
        <v>2.6513157894736841</v>
      </c>
      <c r="L169" s="4">
        <v>0.91768374542350317</v>
      </c>
      <c r="M169" s="2" t="s">
        <v>621</v>
      </c>
      <c r="N169" s="2">
        <v>29</v>
      </c>
      <c r="O169" s="4">
        <v>-2.746663687380793</v>
      </c>
      <c r="P169" s="4">
        <v>-2.9073320367818982</v>
      </c>
      <c r="Q169" s="4">
        <v>-4.0497195321571384</v>
      </c>
      <c r="R169" s="4">
        <v>-1.1937507937190379</v>
      </c>
      <c r="S169" s="2">
        <v>-1.6069999999999991</v>
      </c>
      <c r="T169" s="2">
        <v>-0.66228937490121709</v>
      </c>
      <c r="U169" s="2" t="s">
        <v>655</v>
      </c>
      <c r="V169" s="2">
        <v>200</v>
      </c>
      <c r="W169" s="4">
        <v>-1.107933261301258</v>
      </c>
      <c r="X169" s="4">
        <v>-1.1727427278397711</v>
      </c>
      <c r="Y169" s="4">
        <v>-1.492265833041573</v>
      </c>
      <c r="Z169" s="4">
        <v>-0.69345807003706872</v>
      </c>
      <c r="AA169" s="2">
        <v>-1.6505500000000011</v>
      </c>
      <c r="AB169" s="2">
        <v>-0.75038111799776663</v>
      </c>
    </row>
    <row r="170" spans="1:28" x14ac:dyDescent="0.2">
      <c r="A170" s="2">
        <v>90608</v>
      </c>
      <c r="C170" s="2" t="s">
        <v>674</v>
      </c>
      <c r="D170" s="2" t="s">
        <v>41</v>
      </c>
      <c r="E170" s="2" t="s">
        <v>27</v>
      </c>
      <c r="F170" s="2">
        <v>169</v>
      </c>
      <c r="G170" s="2" t="str">
        <f>IFERROR(VLOOKUP(F170,Picks!$A$2:$B$231,2,0),"")</f>
        <v>Anuda</v>
      </c>
      <c r="I170" s="4"/>
      <c r="J170" s="4"/>
      <c r="K170" s="4"/>
      <c r="L170" s="4"/>
      <c r="O170" s="4"/>
      <c r="P170" s="4"/>
      <c r="Q170" s="4"/>
      <c r="R170" s="4"/>
      <c r="W170" s="4"/>
      <c r="X170" s="4"/>
      <c r="Y170" s="4"/>
      <c r="Z170" s="4"/>
    </row>
    <row r="171" spans="1:28" x14ac:dyDescent="0.2">
      <c r="A171" s="2">
        <v>105949</v>
      </c>
      <c r="C171" s="2" t="s">
        <v>362</v>
      </c>
      <c r="D171" s="2" t="s">
        <v>58</v>
      </c>
      <c r="E171" s="2" t="s">
        <v>24</v>
      </c>
      <c r="F171" s="2">
        <v>170</v>
      </c>
      <c r="G171" s="2" t="str">
        <f>IFERROR(VLOOKUP(F171,Picks!$A$2:$B$231,2,0),"")</f>
        <v>Sousa</v>
      </c>
      <c r="H171" s="2">
        <v>15</v>
      </c>
      <c r="I171" s="4">
        <v>0.39473684210526322</v>
      </c>
      <c r="J171" s="4">
        <v>3.26</v>
      </c>
      <c r="K171" s="4">
        <v>1.286842105263158</v>
      </c>
      <c r="L171" s="4">
        <v>1.441981606352287</v>
      </c>
      <c r="M171" s="2" t="s">
        <v>623</v>
      </c>
      <c r="N171" s="2">
        <v>20</v>
      </c>
      <c r="O171" s="4">
        <v>-2.2095279173281508</v>
      </c>
      <c r="P171" s="4">
        <v>-2.6997447221372899</v>
      </c>
      <c r="Q171" s="4">
        <v>-1.8124440333138161</v>
      </c>
      <c r="R171" s="4">
        <v>-4.0306957553725011</v>
      </c>
      <c r="S171" s="2">
        <v>-2.2810000000000001</v>
      </c>
      <c r="T171" s="2">
        <v>-2.8747980085348508</v>
      </c>
      <c r="U171" s="2" t="s">
        <v>623</v>
      </c>
      <c r="V171" s="2">
        <v>258</v>
      </c>
      <c r="W171" s="4">
        <v>-1.3681582606981291</v>
      </c>
      <c r="X171" s="4">
        <v>-1.671704627219579</v>
      </c>
      <c r="Y171" s="4">
        <v>-1.483224811363699</v>
      </c>
      <c r="Z171" s="4">
        <v>-1.9544243510033981</v>
      </c>
      <c r="AA171" s="2">
        <v>-1.6405500000000011</v>
      </c>
      <c r="AB171" s="2">
        <v>-2.1148548022082929</v>
      </c>
    </row>
    <row r="172" spans="1:28" x14ac:dyDescent="0.2">
      <c r="A172" s="2">
        <v>124912</v>
      </c>
      <c r="C172" s="2" t="s">
        <v>518</v>
      </c>
      <c r="D172" s="2" t="s">
        <v>35</v>
      </c>
      <c r="E172" s="2" t="s">
        <v>53</v>
      </c>
      <c r="F172" s="2">
        <v>171</v>
      </c>
      <c r="G172" s="2" t="str">
        <f>IFERROR(VLOOKUP(F172,Picks!$A$2:$B$231,2,0),"")</f>
        <v>Sousa</v>
      </c>
      <c r="H172" s="2">
        <v>13</v>
      </c>
      <c r="I172" s="4">
        <v>0.34210526315789469</v>
      </c>
      <c r="J172" s="4">
        <v>2.5499999999999998</v>
      </c>
      <c r="K172" s="4">
        <v>0.87236842105263157</v>
      </c>
      <c r="L172" s="4">
        <v>1.8415411938660371</v>
      </c>
      <c r="M172" s="2" t="s">
        <v>656</v>
      </c>
      <c r="N172" s="2">
        <v>59</v>
      </c>
      <c r="O172" s="4">
        <v>-4.2124883577768184</v>
      </c>
      <c r="P172" s="4">
        <v>-5.2483461506727567</v>
      </c>
      <c r="Q172" s="4">
        <v>-5.8137541759094704</v>
      </c>
      <c r="R172" s="4">
        <v>-4.4002341128176878</v>
      </c>
      <c r="S172" s="2">
        <v>-2.3069999999999991</v>
      </c>
      <c r="T172" s="2">
        <v>-2.441236743322269</v>
      </c>
      <c r="U172" s="2" t="s">
        <v>656</v>
      </c>
      <c r="V172" s="2">
        <v>290</v>
      </c>
      <c r="W172" s="4">
        <v>-1.7738679811722751</v>
      </c>
      <c r="X172" s="4">
        <v>-2.2100650257228338</v>
      </c>
      <c r="Y172" s="4">
        <v>-2.1251373504927868</v>
      </c>
      <c r="Z172" s="4">
        <v>-2.3374565385679049</v>
      </c>
      <c r="AA172" s="2">
        <v>-2.350550000000001</v>
      </c>
      <c r="AB172" s="2">
        <v>-2.529328486418819</v>
      </c>
    </row>
    <row r="173" spans="1:28" x14ac:dyDescent="0.2">
      <c r="A173" s="2">
        <v>106323</v>
      </c>
      <c r="C173" s="2" t="s">
        <v>369</v>
      </c>
      <c r="D173" s="2" t="s">
        <v>45</v>
      </c>
      <c r="E173" s="2" t="s">
        <v>29</v>
      </c>
      <c r="F173" s="2">
        <v>172</v>
      </c>
      <c r="G173" s="2" t="str">
        <f>IFERROR(VLOOKUP(F173,Picks!$A$2:$B$231,2,0),"")</f>
        <v>Anuda</v>
      </c>
      <c r="H173" s="2">
        <v>21</v>
      </c>
      <c r="I173" s="4">
        <v>0.55263157894736847</v>
      </c>
      <c r="J173" s="4">
        <v>1.98</v>
      </c>
      <c r="K173" s="4">
        <v>1.09421052631579</v>
      </c>
      <c r="L173" s="4">
        <v>0.47548941620372992</v>
      </c>
      <c r="M173" s="2" t="s">
        <v>657</v>
      </c>
      <c r="N173" s="2">
        <v>83</v>
      </c>
      <c r="O173" s="4">
        <v>-1.9635855136069069</v>
      </c>
      <c r="P173" s="4">
        <v>-2.2679711099411088</v>
      </c>
      <c r="Q173" s="4">
        <v>-2.3274430308470002</v>
      </c>
      <c r="R173" s="4">
        <v>-2.1787632285822731</v>
      </c>
      <c r="S173" s="2">
        <v>-2.897333333333334</v>
      </c>
      <c r="T173" s="2">
        <v>-2.5034096787720941</v>
      </c>
      <c r="U173" s="2" t="s">
        <v>657</v>
      </c>
      <c r="V173" s="2">
        <v>249</v>
      </c>
      <c r="W173" s="4">
        <v>-2.1101563034343251</v>
      </c>
      <c r="X173" s="4">
        <v>-2.4372625997113779</v>
      </c>
      <c r="Y173" s="4">
        <v>-2.640475586131632</v>
      </c>
      <c r="Z173" s="4">
        <v>-2.1324431200809979</v>
      </c>
      <c r="AA173" s="2">
        <v>-2.9205500000000009</v>
      </c>
      <c r="AB173" s="2">
        <v>-2.3074863811556612</v>
      </c>
    </row>
    <row r="174" spans="1:28" x14ac:dyDescent="0.2">
      <c r="A174" s="2">
        <v>91101</v>
      </c>
      <c r="C174" s="2" t="s">
        <v>202</v>
      </c>
      <c r="D174" s="2" t="s">
        <v>45</v>
      </c>
      <c r="E174" s="2" t="s">
        <v>24</v>
      </c>
      <c r="F174" s="11">
        <v>173</v>
      </c>
      <c r="G174" s="2" t="str">
        <f>IFERROR(VLOOKUP(F174,Picks!$A$2:$B$231,2,0),"")</f>
        <v>Fochesato</v>
      </c>
      <c r="H174" s="2">
        <v>26</v>
      </c>
      <c r="I174" s="4">
        <v>0.70270270270270274</v>
      </c>
      <c r="J174" s="4">
        <v>4.9000000000000004</v>
      </c>
      <c r="K174" s="4">
        <v>3.443243243243244</v>
      </c>
      <c r="L174" s="4">
        <v>0.75300000598207761</v>
      </c>
      <c r="M174" s="2" t="s">
        <v>649</v>
      </c>
      <c r="N174" s="2">
        <v>7</v>
      </c>
      <c r="O174" s="4">
        <v>-0.6453062783327258</v>
      </c>
      <c r="P174" s="4">
        <v>-0.70849650736827463</v>
      </c>
      <c r="Q174" s="4">
        <v>-0.50932776210177755</v>
      </c>
      <c r="R174" s="4">
        <v>-1.0072496252680201</v>
      </c>
      <c r="S174" s="2">
        <v>-0.64099999999999913</v>
      </c>
      <c r="T174" s="2">
        <v>-0.71839687055476498</v>
      </c>
      <c r="U174" s="2" t="s">
        <v>619</v>
      </c>
      <c r="V174" s="2">
        <v>88</v>
      </c>
      <c r="W174" s="4">
        <v>1.3716371533841009E-2</v>
      </c>
      <c r="X174" s="4">
        <v>1.5059517707777959E-2</v>
      </c>
      <c r="Y174" s="4">
        <v>-4.9725619228354354E-4</v>
      </c>
      <c r="Z174" s="4">
        <v>3.8394678557870217E-2</v>
      </c>
      <c r="AA174" s="2">
        <v>-5.5000000000049454E-4</v>
      </c>
      <c r="AB174" s="2">
        <v>4.1546335771792897E-2</v>
      </c>
    </row>
    <row r="175" spans="1:28" x14ac:dyDescent="0.2">
      <c r="A175" s="2">
        <v>108588</v>
      </c>
      <c r="C175" s="2" t="s">
        <v>394</v>
      </c>
      <c r="D175" s="2" t="s">
        <v>52</v>
      </c>
      <c r="E175" s="2" t="s">
        <v>27</v>
      </c>
      <c r="F175" s="2">
        <v>174</v>
      </c>
      <c r="G175" s="2" t="str">
        <f>IFERROR(VLOOKUP(F175,Picks!$A$2:$B$231,2,0),"")</f>
        <v>Petindá</v>
      </c>
      <c r="H175" s="2">
        <v>20</v>
      </c>
      <c r="I175" s="4">
        <v>0.83333333333333337</v>
      </c>
      <c r="J175" s="4">
        <v>4.34</v>
      </c>
      <c r="K175" s="4">
        <v>3.6166666666666671</v>
      </c>
      <c r="L175" s="4">
        <v>1.2531299220149821</v>
      </c>
      <c r="O175" s="4">
        <v>-0.84028963897146025</v>
      </c>
      <c r="P175" s="4">
        <v>-0.88451540944364238</v>
      </c>
      <c r="Q175" s="4">
        <v>-1.022987022041711</v>
      </c>
      <c r="R175" s="4">
        <v>-0.67680799054653962</v>
      </c>
      <c r="S175" s="2">
        <v>-1.331333333333333</v>
      </c>
      <c r="T175" s="2">
        <v>-0.742265843987989</v>
      </c>
      <c r="W175" s="4">
        <v>-0.21338113572821121</v>
      </c>
      <c r="X175" s="4">
        <v>-0.22461172181916969</v>
      </c>
      <c r="Y175" s="4">
        <v>-0.50679447015325485</v>
      </c>
      <c r="Z175" s="4">
        <v>0.19866240068195801</v>
      </c>
      <c r="AA175" s="2">
        <v>-0.56055000000000099</v>
      </c>
      <c r="AB175" s="2">
        <v>0.21496975919521599</v>
      </c>
    </row>
    <row r="176" spans="1:28" x14ac:dyDescent="0.2">
      <c r="A176" s="2">
        <v>89273</v>
      </c>
      <c r="C176" s="2" t="s">
        <v>179</v>
      </c>
      <c r="D176" s="2" t="s">
        <v>31</v>
      </c>
      <c r="E176" s="2" t="s">
        <v>37</v>
      </c>
      <c r="F176" s="2">
        <v>175</v>
      </c>
      <c r="G176" s="2" t="str">
        <f>IFERROR(VLOOKUP(F176,Picks!$A$2:$B$231,2,0),"")</f>
        <v>Rodolfo</v>
      </c>
      <c r="I176" s="4"/>
      <c r="J176" s="4"/>
      <c r="K176" s="4"/>
      <c r="L176" s="4"/>
      <c r="M176" s="2" t="s">
        <v>621</v>
      </c>
      <c r="N176" s="2">
        <v>39</v>
      </c>
      <c r="O176" s="4"/>
      <c r="P176" s="4"/>
      <c r="Q176" s="4"/>
      <c r="R176" s="4"/>
      <c r="U176" s="2" t="s">
        <v>621</v>
      </c>
      <c r="V176" s="2">
        <v>156</v>
      </c>
      <c r="W176" s="4"/>
      <c r="X176" s="4"/>
      <c r="Y176" s="4"/>
      <c r="Z176" s="4"/>
    </row>
    <row r="177" spans="1:28" x14ac:dyDescent="0.2">
      <c r="A177" s="2">
        <v>93478</v>
      </c>
      <c r="C177" s="2" t="s">
        <v>222</v>
      </c>
      <c r="D177" s="2" t="s">
        <v>35</v>
      </c>
      <c r="E177" s="2" t="s">
        <v>27</v>
      </c>
      <c r="F177" s="2">
        <v>176</v>
      </c>
      <c r="G177" s="2" t="str">
        <f>IFERROR(VLOOKUP(F177,Picks!$A$2:$B$231,2,0),"")</f>
        <v>Fernando</v>
      </c>
      <c r="H177" s="2">
        <v>27</v>
      </c>
      <c r="I177" s="4">
        <v>0.71052631578947367</v>
      </c>
      <c r="J177" s="4">
        <v>1.91</v>
      </c>
      <c r="K177" s="4">
        <v>1.357105263157895</v>
      </c>
      <c r="L177" s="4">
        <v>0.41145346575377939</v>
      </c>
      <c r="M177" s="2" t="s">
        <v>656</v>
      </c>
      <c r="N177" s="2">
        <v>65</v>
      </c>
      <c r="O177" s="4">
        <v>-2.5832794851430632</v>
      </c>
      <c r="P177" s="4">
        <v>-2.828951597563008</v>
      </c>
      <c r="Q177" s="4">
        <v>-2.8901816616721741</v>
      </c>
      <c r="R177" s="4">
        <v>-2.7371065013992588</v>
      </c>
      <c r="S177" s="2">
        <v>-3.761333333333333</v>
      </c>
      <c r="T177" s="2">
        <v>-3.0018272474967609</v>
      </c>
      <c r="U177" s="2" t="s">
        <v>623</v>
      </c>
      <c r="V177" s="2">
        <v>273</v>
      </c>
      <c r="W177" s="4">
        <v>-2.171538923818618</v>
      </c>
      <c r="X177" s="4">
        <v>-2.3780541528849422</v>
      </c>
      <c r="Y177" s="4">
        <v>-2.7037627378767528</v>
      </c>
      <c r="Z177" s="4">
        <v>-1.8894912753972251</v>
      </c>
      <c r="AA177" s="2">
        <v>-2.9905500000000012</v>
      </c>
      <c r="AB177" s="2">
        <v>-2.0445916443135559</v>
      </c>
    </row>
    <row r="178" spans="1:28" x14ac:dyDescent="0.2">
      <c r="A178" s="2">
        <v>63289</v>
      </c>
      <c r="C178" s="2" t="s">
        <v>55</v>
      </c>
      <c r="D178" s="2" t="s">
        <v>31</v>
      </c>
      <c r="E178" s="2" t="s">
        <v>29</v>
      </c>
      <c r="F178" s="2">
        <v>177</v>
      </c>
      <c r="G178" s="2" t="str">
        <f>IFERROR(VLOOKUP(F178,Picks!$A$2:$B$231,2,0),"")</f>
        <v>Carlos</v>
      </c>
      <c r="H178" s="2">
        <v>28</v>
      </c>
      <c r="I178" s="4">
        <v>0.73684210526315785</v>
      </c>
      <c r="J178" s="4">
        <v>2.48</v>
      </c>
      <c r="K178" s="4">
        <v>1.827368421052632</v>
      </c>
      <c r="L178" s="4">
        <v>0.61687466536876545</v>
      </c>
      <c r="M178" s="2" t="s">
        <v>655</v>
      </c>
      <c r="N178" s="2">
        <v>73</v>
      </c>
      <c r="O178" s="4">
        <v>-1.6318724670588789</v>
      </c>
      <c r="P178" s="4">
        <v>-1.7717472499496401</v>
      </c>
      <c r="Q178" s="4">
        <v>-1.9257904139267861</v>
      </c>
      <c r="R178" s="4">
        <v>-1.540682503983922</v>
      </c>
      <c r="S178" s="2">
        <v>-2.397333333333334</v>
      </c>
      <c r="T178" s="2">
        <v>-1.7702517840352521</v>
      </c>
      <c r="U178" s="2" t="s">
        <v>657</v>
      </c>
      <c r="V178" s="2">
        <v>238</v>
      </c>
      <c r="W178" s="4">
        <v>-1.7454089183882839</v>
      </c>
      <c r="X178" s="4">
        <v>-1.895015397107279</v>
      </c>
      <c r="Y178" s="4">
        <v>-2.1884245022379081</v>
      </c>
      <c r="Z178" s="4">
        <v>-1.4549017394113359</v>
      </c>
      <c r="AA178" s="2">
        <v>-2.4205500000000009</v>
      </c>
      <c r="AB178" s="2">
        <v>-1.574328486418819</v>
      </c>
    </row>
    <row r="179" spans="1:28" x14ac:dyDescent="0.2">
      <c r="A179" s="2">
        <v>82775</v>
      </c>
      <c r="C179" s="2" t="s">
        <v>133</v>
      </c>
      <c r="D179" s="2" t="s">
        <v>41</v>
      </c>
      <c r="E179" s="2" t="s">
        <v>37</v>
      </c>
      <c r="F179" s="2">
        <v>178</v>
      </c>
      <c r="G179" s="2" t="str">
        <f>IFERROR(VLOOKUP(F179,Picks!$A$2:$B$231,2,0),"")</f>
        <v>Fellipe</v>
      </c>
      <c r="H179" s="2">
        <v>29</v>
      </c>
      <c r="I179" s="4">
        <v>0.76315789473684215</v>
      </c>
      <c r="J179" s="4">
        <v>5.91</v>
      </c>
      <c r="K179" s="4">
        <v>4.5102631578947374</v>
      </c>
      <c r="L179" s="4">
        <v>1.723449454657606</v>
      </c>
      <c r="O179" s="4">
        <v>-0.35570462084352089</v>
      </c>
      <c r="P179" s="4">
        <v>-0.38291148985988088</v>
      </c>
      <c r="Q179" s="4">
        <v>-0.48059141402766259</v>
      </c>
      <c r="R179" s="4">
        <v>-0.23639160360820829</v>
      </c>
      <c r="S179" s="2">
        <v>-0.42750000000000021</v>
      </c>
      <c r="T179" s="2">
        <v>-0.21532995951416911</v>
      </c>
      <c r="W179" s="4">
        <v>0.88935213519913914</v>
      </c>
      <c r="X179" s="4">
        <v>0.95737623619170786</v>
      </c>
      <c r="Y179" s="4">
        <v>0.91264593327303878</v>
      </c>
      <c r="Z179" s="4">
        <v>1.024471690569712</v>
      </c>
      <c r="AA179" s="2">
        <v>1.0094499999999991</v>
      </c>
      <c r="AB179" s="2">
        <v>1.1085662504232869</v>
      </c>
    </row>
    <row r="180" spans="1:28" x14ac:dyDescent="0.2">
      <c r="A180" s="2">
        <v>83263</v>
      </c>
      <c r="C180" s="2" t="s">
        <v>137</v>
      </c>
      <c r="D180" s="2" t="s">
        <v>41</v>
      </c>
      <c r="E180" s="2" t="s">
        <v>29</v>
      </c>
      <c r="F180" s="2">
        <v>179</v>
      </c>
      <c r="G180" s="2" t="str">
        <f>IFERROR(VLOOKUP(F180,Picks!$A$2:$B$231,2,0),"")</f>
        <v>Vidal</v>
      </c>
      <c r="I180" s="4"/>
      <c r="J180" s="4"/>
      <c r="K180" s="4"/>
      <c r="L180" s="4"/>
      <c r="M180" s="2" t="s">
        <v>621</v>
      </c>
      <c r="N180" s="2">
        <v>66</v>
      </c>
      <c r="O180" s="4"/>
      <c r="P180" s="4"/>
      <c r="Q180" s="4"/>
      <c r="R180" s="4"/>
      <c r="U180" s="2" t="s">
        <v>655</v>
      </c>
      <c r="V180" s="2">
        <v>215</v>
      </c>
      <c r="W180" s="4"/>
      <c r="X180" s="4"/>
      <c r="Y180" s="4"/>
      <c r="Z180" s="4"/>
    </row>
    <row r="181" spans="1:28" x14ac:dyDescent="0.2">
      <c r="A181" s="2">
        <v>90302</v>
      </c>
      <c r="C181" s="2" t="s">
        <v>191</v>
      </c>
      <c r="D181" s="2" t="s">
        <v>39</v>
      </c>
      <c r="E181" s="2" t="s">
        <v>27</v>
      </c>
      <c r="F181" s="11">
        <v>180</v>
      </c>
      <c r="G181" s="2" t="str">
        <f>IFERROR(VLOOKUP(F181,Picks!$A$2:$B$231,2,0),"")</f>
        <v>Massa</v>
      </c>
      <c r="I181" s="4"/>
      <c r="J181" s="4"/>
      <c r="K181" s="4"/>
      <c r="L181" s="4"/>
      <c r="M181" s="2" t="s">
        <v>648</v>
      </c>
      <c r="N181" s="2">
        <v>35</v>
      </c>
      <c r="O181" s="4"/>
      <c r="P181" s="4"/>
      <c r="Q181" s="4"/>
      <c r="R181" s="4"/>
      <c r="U181" s="2" t="s">
        <v>619</v>
      </c>
      <c r="V181" s="2">
        <v>89</v>
      </c>
      <c r="W181" s="4"/>
      <c r="X181" s="4"/>
      <c r="Y181" s="4"/>
      <c r="Z181" s="4"/>
    </row>
    <row r="182" spans="1:28" x14ac:dyDescent="0.2">
      <c r="A182" s="2">
        <v>112017</v>
      </c>
      <c r="C182" s="2" t="s">
        <v>431</v>
      </c>
      <c r="D182" s="2" t="s">
        <v>43</v>
      </c>
      <c r="E182" s="2" t="s">
        <v>29</v>
      </c>
      <c r="F182" s="11">
        <v>181</v>
      </c>
      <c r="G182" s="2" t="str">
        <f>IFERROR(VLOOKUP(F182,Picks!$A$2:$B$231,2,0),"")</f>
        <v>Massa</v>
      </c>
      <c r="I182" s="4"/>
      <c r="J182" s="4"/>
      <c r="K182" s="4"/>
      <c r="L182" s="4"/>
      <c r="M182" s="2" t="s">
        <v>619</v>
      </c>
      <c r="N182" s="2">
        <v>40</v>
      </c>
      <c r="O182" s="4"/>
      <c r="P182" s="4"/>
      <c r="Q182" s="4"/>
      <c r="R182" s="4"/>
      <c r="U182" s="2" t="s">
        <v>653</v>
      </c>
      <c r="V182" s="2">
        <v>143</v>
      </c>
      <c r="W182" s="4"/>
      <c r="X182" s="4"/>
      <c r="Y182" s="4"/>
      <c r="Z182" s="4"/>
    </row>
    <row r="183" spans="1:28" x14ac:dyDescent="0.2">
      <c r="A183" s="2">
        <v>125803</v>
      </c>
      <c r="C183" s="2" t="s">
        <v>521</v>
      </c>
      <c r="D183" s="2" t="s">
        <v>39</v>
      </c>
      <c r="E183" s="2" t="s">
        <v>24</v>
      </c>
      <c r="F183" s="11">
        <v>182</v>
      </c>
      <c r="G183" s="2" t="str">
        <f>IFERROR(VLOOKUP(F183,Picks!$A$2:$B$231,2,0),"")</f>
        <v>Vidal</v>
      </c>
      <c r="I183" s="4"/>
      <c r="J183" s="4"/>
      <c r="K183" s="4"/>
      <c r="L183" s="4"/>
      <c r="M183" s="2" t="s">
        <v>620</v>
      </c>
      <c r="N183" s="2">
        <v>6</v>
      </c>
      <c r="O183" s="4"/>
      <c r="P183" s="4"/>
      <c r="Q183" s="4"/>
      <c r="R183" s="4"/>
      <c r="U183" s="2" t="s">
        <v>647</v>
      </c>
      <c r="V183" s="2">
        <v>55</v>
      </c>
      <c r="W183" s="4"/>
      <c r="X183" s="4"/>
      <c r="Y183" s="4"/>
      <c r="Z183" s="4"/>
    </row>
    <row r="184" spans="1:28" x14ac:dyDescent="0.2">
      <c r="A184" s="2">
        <v>42135</v>
      </c>
      <c r="C184" s="2" t="s">
        <v>30</v>
      </c>
      <c r="D184" s="2" t="s">
        <v>31</v>
      </c>
      <c r="E184" s="2" t="s">
        <v>29</v>
      </c>
      <c r="F184" s="11">
        <v>183</v>
      </c>
      <c r="G184" s="2" t="str">
        <f>IFERROR(VLOOKUP(F184,Picks!$A$2:$B$231,2,0),"")</f>
        <v>Fellipe</v>
      </c>
      <c r="I184" s="4"/>
      <c r="J184" s="4"/>
      <c r="K184" s="4"/>
      <c r="L184" s="4"/>
      <c r="M184" s="2" t="s">
        <v>619</v>
      </c>
      <c r="N184" s="2">
        <v>37</v>
      </c>
      <c r="O184" s="4"/>
      <c r="P184" s="4"/>
      <c r="Q184" s="4"/>
      <c r="R184" s="4"/>
      <c r="U184" s="2" t="s">
        <v>648</v>
      </c>
      <c r="V184" s="2">
        <v>106</v>
      </c>
      <c r="W184" s="4"/>
      <c r="X184" s="4"/>
      <c r="Y184" s="4"/>
      <c r="Z184" s="4"/>
    </row>
    <row r="185" spans="1:28" x14ac:dyDescent="0.2">
      <c r="A185" s="2">
        <v>106822</v>
      </c>
      <c r="C185" s="2" t="s">
        <v>372</v>
      </c>
      <c r="D185" s="2" t="s">
        <v>45</v>
      </c>
      <c r="E185" s="2" t="s">
        <v>29</v>
      </c>
      <c r="F185" s="2">
        <v>184</v>
      </c>
      <c r="G185" s="2" t="str">
        <f>IFERROR(VLOOKUP(F185,Picks!$A$2:$B$231,2,0),"")</f>
        <v>Carlos</v>
      </c>
      <c r="H185" s="2">
        <v>20</v>
      </c>
      <c r="I185" s="4">
        <v>0.52631578947368418</v>
      </c>
      <c r="J185" s="4">
        <v>4.3</v>
      </c>
      <c r="K185" s="4">
        <v>2.263157894736842</v>
      </c>
      <c r="L185" s="4">
        <v>0.77038669605005827</v>
      </c>
      <c r="O185" s="4">
        <v>-0.63726798702358445</v>
      </c>
      <c r="P185" s="4">
        <v>-0.74282771493546651</v>
      </c>
      <c r="Q185" s="4">
        <v>-0.46377488833720731</v>
      </c>
      <c r="R185" s="4">
        <v>-1.1614069548328549</v>
      </c>
      <c r="S185" s="2">
        <v>-0.5773333333333337</v>
      </c>
      <c r="T185" s="2">
        <v>-1.3344623103510409</v>
      </c>
      <c r="W185" s="4">
        <v>-0.64054147367367575</v>
      </c>
      <c r="X185" s="4">
        <v>-0.74664343557054225</v>
      </c>
      <c r="Y185" s="4">
        <v>-0.54295855686475281</v>
      </c>
      <c r="Z185" s="4">
        <v>-1.052170753629226</v>
      </c>
      <c r="AA185" s="2">
        <v>-0.60055000000000103</v>
      </c>
      <c r="AB185" s="2">
        <v>-1.1385390127346089</v>
      </c>
    </row>
    <row r="186" spans="1:28" x14ac:dyDescent="0.2">
      <c r="A186" s="2">
        <v>93411</v>
      </c>
      <c r="C186" s="2" t="s">
        <v>221</v>
      </c>
      <c r="D186" s="2" t="s">
        <v>33</v>
      </c>
      <c r="E186" s="2" t="s">
        <v>27</v>
      </c>
      <c r="F186" s="11">
        <v>185</v>
      </c>
      <c r="G186" s="2" t="str">
        <f>IFERROR(VLOOKUP(F186,Picks!$A$2:$B$231,2,0),"")</f>
        <v>Fernando</v>
      </c>
      <c r="H186" s="2">
        <v>17</v>
      </c>
      <c r="I186" s="4">
        <v>0.68</v>
      </c>
      <c r="J186" s="4">
        <v>5.13</v>
      </c>
      <c r="K186" s="4">
        <v>3.4883999999999999</v>
      </c>
      <c r="L186" s="4">
        <v>2.1783424891416869</v>
      </c>
      <c r="M186" s="2" t="s">
        <v>649</v>
      </c>
      <c r="N186" s="2">
        <v>18</v>
      </c>
      <c r="O186" s="4">
        <v>-0.51263969195143211</v>
      </c>
      <c r="P186" s="4">
        <v>-0.56707930525600891</v>
      </c>
      <c r="Q186" s="4">
        <v>-0.41595666594785641</v>
      </c>
      <c r="R186" s="4">
        <v>-0.79376326421823773</v>
      </c>
      <c r="S186" s="2">
        <v>-0.54133333333333322</v>
      </c>
      <c r="T186" s="2">
        <v>-0.87053251065465531</v>
      </c>
      <c r="U186" s="2" t="s">
        <v>647</v>
      </c>
      <c r="V186" s="2">
        <v>56</v>
      </c>
      <c r="W186" s="4">
        <v>0.14149236576954791</v>
      </c>
      <c r="X186" s="4">
        <v>0.15651810372737601</v>
      </c>
      <c r="Y186" s="4">
        <v>0.20744624239882911</v>
      </c>
      <c r="Z186" s="4">
        <v>8.0125895720196433E-2</v>
      </c>
      <c r="AA186" s="2">
        <v>0.22944999999999899</v>
      </c>
      <c r="AB186" s="2">
        <v>8.6703092528549686E-2</v>
      </c>
    </row>
    <row r="187" spans="1:28" x14ac:dyDescent="0.2">
      <c r="A187" s="2">
        <v>105300</v>
      </c>
      <c r="C187" s="2" t="s">
        <v>675</v>
      </c>
      <c r="D187" s="2" t="s">
        <v>52</v>
      </c>
      <c r="E187" s="2" t="s">
        <v>53</v>
      </c>
      <c r="F187" s="2">
        <v>186</v>
      </c>
      <c r="G187" s="2" t="str">
        <f>IFERROR(VLOOKUP(F187,Picks!$A$2:$B$231,2,0),"")</f>
        <v>Rodolfo</v>
      </c>
      <c r="H187" s="2">
        <v>23</v>
      </c>
      <c r="I187" s="4">
        <v>0.60526315789473684</v>
      </c>
      <c r="J187" s="4">
        <v>5.99</v>
      </c>
      <c r="K187" s="4">
        <v>3.6255263157894739</v>
      </c>
      <c r="L187" s="4">
        <v>2.1395855310470111</v>
      </c>
      <c r="M187" s="2" t="s">
        <v>631</v>
      </c>
      <c r="N187" s="2">
        <v>4</v>
      </c>
      <c r="O187" s="4">
        <v>1.7085175724199839</v>
      </c>
      <c r="P187" s="4">
        <v>1.93801993289431</v>
      </c>
      <c r="Q187" s="4">
        <v>2.8552160733877048</v>
      </c>
      <c r="R187" s="4">
        <v>0.56222572215421796</v>
      </c>
      <c r="S187" s="2">
        <v>1.1330000000000009</v>
      </c>
      <c r="T187" s="2">
        <v>0.31192115141457277</v>
      </c>
      <c r="U187" s="2" t="s">
        <v>620</v>
      </c>
      <c r="V187" s="2">
        <v>40</v>
      </c>
      <c r="W187" s="4">
        <v>0.59394129217497704</v>
      </c>
      <c r="X187" s="4">
        <v>0.67372445082534715</v>
      </c>
      <c r="Y187" s="4">
        <v>0.98497410669603469</v>
      </c>
      <c r="Z187" s="4">
        <v>0.20684996701931591</v>
      </c>
      <c r="AA187" s="2">
        <v>1.0894499999999989</v>
      </c>
      <c r="AB187" s="2">
        <v>0.2238294083180232</v>
      </c>
    </row>
    <row r="188" spans="1:28" x14ac:dyDescent="0.2">
      <c r="A188" s="2">
        <v>111879</v>
      </c>
      <c r="C188" s="2" t="s">
        <v>428</v>
      </c>
      <c r="D188" s="2" t="s">
        <v>33</v>
      </c>
      <c r="E188" s="2" t="s">
        <v>37</v>
      </c>
      <c r="F188" s="11">
        <v>187</v>
      </c>
      <c r="G188" s="2" t="str">
        <f>IFERROR(VLOOKUP(F188,Picks!$A$2:$B$231,2,0),"")</f>
        <v>Petindá</v>
      </c>
      <c r="I188" s="4"/>
      <c r="J188" s="4"/>
      <c r="K188" s="4"/>
      <c r="L188" s="4"/>
      <c r="M188" s="2" t="s">
        <v>619</v>
      </c>
      <c r="N188" s="2">
        <v>21</v>
      </c>
      <c r="O188" s="4"/>
      <c r="P188" s="4"/>
      <c r="Q188" s="4"/>
      <c r="R188" s="4"/>
      <c r="U188" s="2" t="s">
        <v>619</v>
      </c>
      <c r="V188" s="2">
        <v>103</v>
      </c>
      <c r="W188" s="4"/>
      <c r="X188" s="4"/>
      <c r="Y188" s="4"/>
      <c r="Z188" s="4"/>
    </row>
    <row r="189" spans="1:28" x14ac:dyDescent="0.2">
      <c r="A189" s="2">
        <v>123360</v>
      </c>
      <c r="C189" s="2" t="s">
        <v>502</v>
      </c>
      <c r="D189" s="2" t="s">
        <v>45</v>
      </c>
      <c r="E189" s="2" t="s">
        <v>29</v>
      </c>
      <c r="F189" s="2">
        <v>189</v>
      </c>
      <c r="G189" s="2" t="str">
        <f>IFERROR(VLOOKUP(F189,Picks!$A$2:$B$231,2,0),"")</f>
        <v>Anuda</v>
      </c>
      <c r="H189" s="2">
        <v>29</v>
      </c>
      <c r="I189" s="4">
        <v>0.76315789473684215</v>
      </c>
      <c r="J189" s="4">
        <v>1.67</v>
      </c>
      <c r="K189" s="4">
        <v>1.274473684210526</v>
      </c>
      <c r="L189" s="4">
        <v>0.75921784450816898</v>
      </c>
      <c r="O189" s="4">
        <v>-2.187328600055765</v>
      </c>
      <c r="P189" s="4">
        <v>-2.35463135416768</v>
      </c>
      <c r="Q189" s="4">
        <v>-2.5764676533375321</v>
      </c>
      <c r="R189" s="4">
        <v>-2.0218769054129009</v>
      </c>
      <c r="S189" s="2">
        <v>-3.207333333333334</v>
      </c>
      <c r="T189" s="2">
        <v>-2.3231465208773572</v>
      </c>
      <c r="W189" s="4">
        <v>-2.358402439996234</v>
      </c>
      <c r="X189" s="4">
        <v>-2.5387901620356059</v>
      </c>
      <c r="Y189" s="4">
        <v>-2.9207472581457412</v>
      </c>
      <c r="Z189" s="4">
        <v>-1.965854517870403</v>
      </c>
      <c r="AA189" s="2">
        <v>-3.2305500000000009</v>
      </c>
      <c r="AB189" s="2">
        <v>-2.1272232232609238</v>
      </c>
    </row>
    <row r="190" spans="1:28" x14ac:dyDescent="0.2">
      <c r="A190" s="2">
        <v>107174</v>
      </c>
      <c r="C190" s="2" t="s">
        <v>377</v>
      </c>
      <c r="D190" s="2" t="s">
        <v>58</v>
      </c>
      <c r="E190" s="2" t="s">
        <v>29</v>
      </c>
      <c r="F190" s="2">
        <v>190</v>
      </c>
      <c r="G190" s="2" t="str">
        <f>IFERROR(VLOOKUP(F190,Picks!$A$2:$B$231,2,0),"")</f>
        <v>Sousa</v>
      </c>
      <c r="H190" s="2">
        <v>24</v>
      </c>
      <c r="I190" s="4">
        <v>0.63157894736842102</v>
      </c>
      <c r="J190" s="4">
        <v>3.43</v>
      </c>
      <c r="K190" s="4">
        <v>2.1663157894736842</v>
      </c>
      <c r="L190" s="4">
        <v>0.94493668268389808</v>
      </c>
      <c r="M190" s="2" t="s">
        <v>619</v>
      </c>
      <c r="N190" s="2">
        <v>34</v>
      </c>
      <c r="O190" s="4">
        <v>-1.0636917185570069</v>
      </c>
      <c r="P190" s="4">
        <v>-1.195866429146931</v>
      </c>
      <c r="Q190" s="4">
        <v>-1.162650441778379</v>
      </c>
      <c r="R190" s="4">
        <v>-1.245690410199759</v>
      </c>
      <c r="S190" s="2">
        <v>-1.4473333333333329</v>
      </c>
      <c r="T190" s="2">
        <v>-1.431304415614199</v>
      </c>
      <c r="U190" s="2" t="s">
        <v>653</v>
      </c>
      <c r="V190" s="2">
        <v>141</v>
      </c>
      <c r="W190" s="4">
        <v>-1.1157407369130949</v>
      </c>
      <c r="X190" s="4">
        <v>-1.2543830770028881</v>
      </c>
      <c r="Y190" s="4">
        <v>-1.329527442839832</v>
      </c>
      <c r="Z190" s="4">
        <v>-1.1416665282474729</v>
      </c>
      <c r="AA190" s="2">
        <v>-1.4705500000000009</v>
      </c>
      <c r="AB190" s="2">
        <v>-1.235381117997767</v>
      </c>
    </row>
    <row r="191" spans="1:28" x14ac:dyDescent="0.2">
      <c r="A191" s="2">
        <v>68708</v>
      </c>
      <c r="C191" s="2" t="s">
        <v>59</v>
      </c>
      <c r="D191" s="2" t="s">
        <v>41</v>
      </c>
      <c r="E191" s="2" t="s">
        <v>29</v>
      </c>
      <c r="F191" s="2">
        <v>191</v>
      </c>
      <c r="G191" s="2" t="str">
        <f>IFERROR(VLOOKUP(F191,Picks!$A$2:$B$231,2,0),"")</f>
        <v>Sousa</v>
      </c>
      <c r="H191" s="2">
        <v>29</v>
      </c>
      <c r="I191" s="4">
        <v>0.76315789473684215</v>
      </c>
      <c r="J191" s="4">
        <v>1.22</v>
      </c>
      <c r="K191" s="4">
        <v>0.93105263157894735</v>
      </c>
      <c r="L191" s="4">
        <v>0.62228557064799428</v>
      </c>
      <c r="M191" s="2" t="s">
        <v>656</v>
      </c>
      <c r="N191" s="2">
        <v>99</v>
      </c>
      <c r="O191" s="4">
        <v>-2.4998698416374001</v>
      </c>
      <c r="P191" s="4">
        <v>-2.6910780164935191</v>
      </c>
      <c r="Q191" s="4">
        <v>-2.9379550085657251</v>
      </c>
      <c r="R191" s="4">
        <v>-2.3207625283852091</v>
      </c>
      <c r="S191" s="2">
        <v>-3.6573333333333342</v>
      </c>
      <c r="T191" s="2">
        <v>-2.666567573508936</v>
      </c>
      <c r="U191" s="2" t="s">
        <v>656</v>
      </c>
      <c r="V191" s="2">
        <v>298</v>
      </c>
      <c r="W191" s="4">
        <v>-2.703093373684422</v>
      </c>
      <c r="X191" s="4">
        <v>-2.909845558073882</v>
      </c>
      <c r="Y191" s="4">
        <v>-3.3275932336500929</v>
      </c>
      <c r="Z191" s="4">
        <v>-2.283224044709566</v>
      </c>
      <c r="AA191" s="2">
        <v>-3.6805500000000011</v>
      </c>
      <c r="AB191" s="2">
        <v>-2.470644275892504</v>
      </c>
    </row>
    <row r="192" spans="1:28" x14ac:dyDescent="0.2">
      <c r="A192" s="2">
        <v>103183</v>
      </c>
      <c r="C192" s="2" t="s">
        <v>676</v>
      </c>
      <c r="D192" s="2" t="s">
        <v>47</v>
      </c>
      <c r="E192" s="2" t="s">
        <v>24</v>
      </c>
      <c r="F192" s="2">
        <v>192</v>
      </c>
      <c r="G192" s="2" t="str">
        <f>IFERROR(VLOOKUP(F192,Picks!$A$2:$B$231,2,0),"")</f>
        <v>Anuda</v>
      </c>
      <c r="I192" s="4"/>
      <c r="J192" s="4"/>
      <c r="K192" s="4"/>
      <c r="L192" s="4"/>
      <c r="O192" s="4"/>
      <c r="P192" s="4"/>
      <c r="Q192" s="4"/>
      <c r="R192" s="4"/>
      <c r="W192" s="4"/>
      <c r="X192" s="4"/>
      <c r="Y192" s="4"/>
      <c r="Z192" s="4"/>
    </row>
    <row r="193" spans="1:28" x14ac:dyDescent="0.2">
      <c r="A193" s="2">
        <v>101597</v>
      </c>
      <c r="C193" s="2" t="s">
        <v>304</v>
      </c>
      <c r="D193" s="2" t="s">
        <v>33</v>
      </c>
      <c r="E193" s="2" t="s">
        <v>37</v>
      </c>
      <c r="F193" s="2">
        <v>193</v>
      </c>
      <c r="G193" s="2" t="str">
        <f>IFERROR(VLOOKUP(F193,Picks!$A$2:$B$231,2,0),"")</f>
        <v>Fochesato</v>
      </c>
      <c r="H193" s="2">
        <v>21</v>
      </c>
      <c r="I193" s="4">
        <v>0.55263157894736847</v>
      </c>
      <c r="J193" s="4">
        <v>4.3600000000000003</v>
      </c>
      <c r="K193" s="4">
        <v>2.4094736842105271</v>
      </c>
      <c r="L193" s="4">
        <v>1.0306588924029769</v>
      </c>
      <c r="M193" s="2" t="s">
        <v>621</v>
      </c>
      <c r="N193" s="2">
        <v>31</v>
      </c>
      <c r="O193" s="4">
        <v>-2.0353987933250282</v>
      </c>
      <c r="P193" s="4">
        <v>-2.350916539402768</v>
      </c>
      <c r="Q193" s="4">
        <v>-2.2230865993911171</v>
      </c>
      <c r="R193" s="4">
        <v>-2.542661449420244</v>
      </c>
      <c r="S193" s="2">
        <v>-1.9775</v>
      </c>
      <c r="T193" s="2">
        <v>-2.3161194331983799</v>
      </c>
      <c r="U193" s="2" t="s">
        <v>621</v>
      </c>
      <c r="V193" s="2">
        <v>153</v>
      </c>
      <c r="W193" s="4">
        <v>-0.57142900118126672</v>
      </c>
      <c r="X193" s="4">
        <v>-0.66000918069568792</v>
      </c>
      <c r="Y193" s="4">
        <v>-0.48871242679750548</v>
      </c>
      <c r="Z193" s="4">
        <v>-0.91695431154296159</v>
      </c>
      <c r="AA193" s="2">
        <v>-0.54055000000000053</v>
      </c>
      <c r="AB193" s="2">
        <v>-0.99222322326092405</v>
      </c>
    </row>
    <row r="194" spans="1:28" x14ac:dyDescent="0.2">
      <c r="A194" s="2">
        <v>104118</v>
      </c>
      <c r="C194" s="2" t="s">
        <v>334</v>
      </c>
      <c r="D194" s="2" t="s">
        <v>33</v>
      </c>
      <c r="E194" s="2" t="s">
        <v>24</v>
      </c>
      <c r="F194" s="2">
        <v>194</v>
      </c>
      <c r="G194" s="2" t="str">
        <f>IFERROR(VLOOKUP(F194,Picks!$A$2:$B$231,2,0),"")</f>
        <v>Petindá</v>
      </c>
      <c r="H194" s="2">
        <v>29</v>
      </c>
      <c r="I194" s="4">
        <v>0.76315789473684215</v>
      </c>
      <c r="J194" s="4">
        <v>4.32</v>
      </c>
      <c r="K194" s="4">
        <v>3.296842105263158</v>
      </c>
      <c r="L194" s="4">
        <v>1.001014456989006</v>
      </c>
      <c r="O194" s="4">
        <v>-0.991296314240385</v>
      </c>
      <c r="P194" s="4">
        <v>-1.067117845357922</v>
      </c>
      <c r="Q194" s="4">
        <v>-0.97018595557920573</v>
      </c>
      <c r="R194" s="4">
        <v>-1.212515680025996</v>
      </c>
      <c r="S194" s="2">
        <v>-1.220999999999999</v>
      </c>
      <c r="T194" s="2">
        <v>-0.86479800853485012</v>
      </c>
      <c r="W194" s="4">
        <v>-0.32855583049912551</v>
      </c>
      <c r="X194" s="4">
        <v>-0.35368616314353452</v>
      </c>
      <c r="Y194" s="4">
        <v>-0.52487651350900344</v>
      </c>
      <c r="Z194" s="4">
        <v>-9.6900637595331018E-2</v>
      </c>
      <c r="AA194" s="2">
        <v>-0.58055000000000057</v>
      </c>
      <c r="AB194" s="2">
        <v>-0.1048548022082922</v>
      </c>
    </row>
    <row r="195" spans="1:28" x14ac:dyDescent="0.2">
      <c r="A195" s="2">
        <v>80570</v>
      </c>
      <c r="C195" s="2" t="s">
        <v>121</v>
      </c>
      <c r="D195" s="2" t="s">
        <v>52</v>
      </c>
      <c r="E195" s="2" t="s">
        <v>37</v>
      </c>
      <c r="F195" s="2">
        <v>195</v>
      </c>
      <c r="G195" s="2" t="str">
        <f>IFERROR(VLOOKUP(F195,Picks!$A$2:$B$231,2,0),"")</f>
        <v>Rodolfo</v>
      </c>
      <c r="H195" s="2">
        <v>15</v>
      </c>
      <c r="I195" s="4">
        <v>0.39473684210526322</v>
      </c>
      <c r="J195" s="4">
        <v>4.99</v>
      </c>
      <c r="K195" s="4">
        <v>1.969736842105263</v>
      </c>
      <c r="L195" s="4">
        <v>1.11533271704065</v>
      </c>
      <c r="M195" s="2" t="s">
        <v>621</v>
      </c>
      <c r="N195" s="2">
        <v>37</v>
      </c>
      <c r="O195" s="4">
        <v>-1.7342929188479179</v>
      </c>
      <c r="P195" s="4">
        <v>-2.1190717336405429</v>
      </c>
      <c r="Q195" s="4">
        <v>-1.514846620824035</v>
      </c>
      <c r="R195" s="4">
        <v>-3.025409402865304</v>
      </c>
      <c r="S195" s="2">
        <v>-1.3474999999999999</v>
      </c>
      <c r="T195" s="2">
        <v>-2.755856275303644</v>
      </c>
      <c r="U195" s="2" t="s">
        <v>655</v>
      </c>
      <c r="V195" s="2">
        <v>190</v>
      </c>
      <c r="W195" s="4">
        <v>-0.39350512929215992</v>
      </c>
      <c r="X195" s="4">
        <v>-0.48081012582321792</v>
      </c>
      <c r="Y195" s="4">
        <v>8.0871938908586655E-2</v>
      </c>
      <c r="Z195" s="4">
        <v>-1.3233332229209249</v>
      </c>
      <c r="AA195" s="2">
        <v>8.9449999999999363E-2</v>
      </c>
      <c r="AB195" s="2">
        <v>-1.431960065366187</v>
      </c>
    </row>
    <row r="196" spans="1:28" x14ac:dyDescent="0.2">
      <c r="A196" s="2">
        <v>80061</v>
      </c>
      <c r="C196" s="2" t="s">
        <v>115</v>
      </c>
      <c r="D196" s="2" t="s">
        <v>47</v>
      </c>
      <c r="E196" s="2" t="s">
        <v>29</v>
      </c>
      <c r="F196" s="2">
        <v>196</v>
      </c>
      <c r="G196" s="2" t="str">
        <f>IFERROR(VLOOKUP(F196,Picks!$A$2:$B$231,2,0),"")</f>
        <v>Fernando</v>
      </c>
      <c r="H196" s="2">
        <v>15</v>
      </c>
      <c r="I196" s="4">
        <v>0.65217391304347827</v>
      </c>
      <c r="J196" s="4">
        <v>3.7</v>
      </c>
      <c r="K196" s="4">
        <v>2.4130434782608701</v>
      </c>
      <c r="L196" s="4">
        <v>1.330666271937756</v>
      </c>
      <c r="M196" s="2" t="s">
        <v>619</v>
      </c>
      <c r="N196" s="2">
        <v>28</v>
      </c>
      <c r="O196" s="4">
        <v>-0.87759433327820335</v>
      </c>
      <c r="P196" s="4">
        <v>-0.97983833327178038</v>
      </c>
      <c r="Q196" s="4">
        <v>-0.94575802864146363</v>
      </c>
      <c r="R196" s="4">
        <v>-1.030958790217255</v>
      </c>
      <c r="S196" s="2">
        <v>-1.1773333333333329</v>
      </c>
      <c r="T196" s="2">
        <v>-1.184576726827014</v>
      </c>
      <c r="U196" s="2" t="s">
        <v>653</v>
      </c>
      <c r="V196" s="2">
        <v>133</v>
      </c>
      <c r="W196" s="4">
        <v>-0.91062214170241784</v>
      </c>
      <c r="X196" s="4">
        <v>-1.016714041706583</v>
      </c>
      <c r="Y196" s="4">
        <v>-1.0854198575372209</v>
      </c>
      <c r="Z196" s="4">
        <v>-0.91365531796062571</v>
      </c>
      <c r="AA196" s="2">
        <v>-1.2005500000000009</v>
      </c>
      <c r="AB196" s="2">
        <v>-0.98865342921058108</v>
      </c>
    </row>
    <row r="197" spans="1:28" x14ac:dyDescent="0.2">
      <c r="A197" s="2">
        <v>98280</v>
      </c>
      <c r="C197" s="2" t="s">
        <v>268</v>
      </c>
      <c r="D197" s="2" t="s">
        <v>61</v>
      </c>
      <c r="E197" s="2" t="s">
        <v>53</v>
      </c>
      <c r="F197" s="2">
        <v>197</v>
      </c>
      <c r="G197" s="2" t="str">
        <f>IFERROR(VLOOKUP(F197,Picks!$A$2:$B$231,2,0),"")</f>
        <v>Carlos</v>
      </c>
      <c r="I197" s="4"/>
      <c r="J197" s="4"/>
      <c r="K197" s="4"/>
      <c r="L197" s="4"/>
      <c r="O197" s="4"/>
      <c r="P197" s="4"/>
      <c r="Q197" s="4"/>
      <c r="R197" s="4"/>
      <c r="W197" s="4"/>
      <c r="X197" s="4"/>
      <c r="Y197" s="4"/>
      <c r="Z197" s="4"/>
    </row>
    <row r="198" spans="1:28" x14ac:dyDescent="0.2">
      <c r="A198" s="2">
        <v>110598</v>
      </c>
      <c r="C198" s="2" t="s">
        <v>652</v>
      </c>
      <c r="D198" s="2" t="s">
        <v>67</v>
      </c>
      <c r="E198" s="2" t="s">
        <v>27</v>
      </c>
      <c r="F198" s="11">
        <v>198</v>
      </c>
      <c r="G198" s="2" t="str">
        <f>IFERROR(VLOOKUP(F198,Picks!$A$2:$B$231,2,0),"")</f>
        <v>Fellipe</v>
      </c>
      <c r="M198" s="2" t="s">
        <v>648</v>
      </c>
      <c r="N198" s="2">
        <v>36</v>
      </c>
      <c r="U198" s="2" t="s">
        <v>619</v>
      </c>
      <c r="V198" s="2">
        <v>92</v>
      </c>
    </row>
    <row r="199" spans="1:28" x14ac:dyDescent="0.2">
      <c r="A199" s="2">
        <v>104075</v>
      </c>
      <c r="C199" s="2" t="s">
        <v>331</v>
      </c>
      <c r="D199" s="2" t="s">
        <v>52</v>
      </c>
      <c r="E199" s="2" t="s">
        <v>53</v>
      </c>
      <c r="F199" s="11">
        <v>199</v>
      </c>
      <c r="G199" s="2" t="str">
        <f>IFERROR(VLOOKUP(F199,Picks!$A$2:$B$231,2,0),"")</f>
        <v>Vidal</v>
      </c>
      <c r="H199" s="2">
        <v>30</v>
      </c>
      <c r="I199" s="4">
        <v>0.78947368421052633</v>
      </c>
      <c r="J199" s="4">
        <v>4.59</v>
      </c>
      <c r="K199" s="4">
        <v>3.6236842105263158</v>
      </c>
      <c r="L199" s="4">
        <v>1.55648976356039</v>
      </c>
      <c r="M199" s="2" t="s">
        <v>647</v>
      </c>
      <c r="N199" s="2">
        <v>11</v>
      </c>
      <c r="O199" s="4">
        <v>-0.16877188865956169</v>
      </c>
      <c r="P199" s="4">
        <v>-0.18014976879391409</v>
      </c>
      <c r="Q199" s="4">
        <v>-0.67285321411695953</v>
      </c>
      <c r="R199" s="4">
        <v>0.55890539919065396</v>
      </c>
      <c r="S199" s="2">
        <v>-0.26699999999999952</v>
      </c>
      <c r="T199" s="2">
        <v>0.31007904615141468</v>
      </c>
      <c r="U199" s="2" t="s">
        <v>648</v>
      </c>
      <c r="V199" s="2">
        <v>111</v>
      </c>
      <c r="W199" s="4">
        <v>-8.0945327834029829E-2</v>
      </c>
      <c r="X199" s="4">
        <v>-8.6402316227335213E-2</v>
      </c>
      <c r="Y199" s="4">
        <v>-0.28076892820639288</v>
      </c>
      <c r="Z199" s="4">
        <v>0.20514760174125121</v>
      </c>
      <c r="AA199" s="2">
        <v>-0.31055000000000099</v>
      </c>
      <c r="AB199" s="2">
        <v>0.22198730305486511</v>
      </c>
    </row>
    <row r="200" spans="1:28" x14ac:dyDescent="0.2">
      <c r="A200" s="2">
        <v>107985</v>
      </c>
      <c r="C200" s="2" t="s">
        <v>387</v>
      </c>
      <c r="D200" s="2" t="s">
        <v>43</v>
      </c>
      <c r="E200" s="2" t="s">
        <v>53</v>
      </c>
      <c r="F200" s="11">
        <v>200</v>
      </c>
      <c r="G200" s="2" t="str">
        <f>IFERROR(VLOOKUP(F200,Picks!$A$2:$B$231,2,0),"")</f>
        <v>Massa</v>
      </c>
      <c r="I200" s="4"/>
      <c r="J200" s="4"/>
      <c r="K200" s="4"/>
      <c r="L200" s="4"/>
      <c r="M200" s="2" t="s">
        <v>619</v>
      </c>
      <c r="N200" s="2">
        <v>19</v>
      </c>
      <c r="O200" s="4"/>
      <c r="P200" s="4"/>
      <c r="Q200" s="4"/>
      <c r="R200" s="4"/>
      <c r="U200" s="2" t="s">
        <v>653</v>
      </c>
      <c r="V200" s="2">
        <v>130</v>
      </c>
      <c r="W200" s="4"/>
      <c r="X200" s="4"/>
      <c r="Y200" s="4"/>
      <c r="Z200" s="4"/>
    </row>
    <row r="201" spans="1:28" x14ac:dyDescent="0.2">
      <c r="A201" s="2">
        <v>108469</v>
      </c>
      <c r="C201" s="2" t="s">
        <v>391</v>
      </c>
      <c r="D201" s="2" t="s">
        <v>50</v>
      </c>
      <c r="E201" s="2" t="s">
        <v>53</v>
      </c>
      <c r="F201" s="11">
        <v>201</v>
      </c>
      <c r="G201" s="2" t="str">
        <f>IFERROR(VLOOKUP(F201,Picks!$A$2:$B$231,2,0),"")</f>
        <v>Massa</v>
      </c>
      <c r="H201" s="2">
        <v>12</v>
      </c>
      <c r="I201" s="4">
        <v>0.75</v>
      </c>
      <c r="J201" s="4">
        <v>4.38</v>
      </c>
      <c r="K201" s="4">
        <v>3.2850000000000001</v>
      </c>
      <c r="L201" s="4">
        <v>1.144735777373975</v>
      </c>
      <c r="M201" s="2" t="s">
        <v>619</v>
      </c>
      <c r="N201" s="2">
        <v>13</v>
      </c>
      <c r="O201" s="4">
        <v>-0.68622238889333276</v>
      </c>
      <c r="P201" s="4">
        <v>-0.74186204204684625</v>
      </c>
      <c r="Q201" s="4">
        <v>-1.2020636072426589</v>
      </c>
      <c r="R201" s="4">
        <v>-5.1559694253127411E-2</v>
      </c>
      <c r="S201" s="2">
        <v>-0.47699999999999942</v>
      </c>
      <c r="T201" s="2">
        <v>-2.8605164374901019E-2</v>
      </c>
      <c r="U201" s="2" t="s">
        <v>653</v>
      </c>
      <c r="V201" s="2">
        <v>123</v>
      </c>
      <c r="W201" s="4">
        <v>-0.30110229613184403</v>
      </c>
      <c r="X201" s="4">
        <v>-0.32551599581820972</v>
      </c>
      <c r="Y201" s="4">
        <v>-0.47063038344175689</v>
      </c>
      <c r="Z201" s="4">
        <v>-0.1078444143828888</v>
      </c>
      <c r="AA201" s="2">
        <v>-0.52055000000000096</v>
      </c>
      <c r="AB201" s="2">
        <v>-0.1166969074714506</v>
      </c>
    </row>
    <row r="202" spans="1:28" x14ac:dyDescent="0.2">
      <c r="A202" s="2">
        <v>91772</v>
      </c>
      <c r="C202" s="2" t="s">
        <v>208</v>
      </c>
      <c r="D202" s="2" t="s">
        <v>45</v>
      </c>
      <c r="E202" s="2" t="s">
        <v>53</v>
      </c>
      <c r="F202" s="2">
        <v>202</v>
      </c>
      <c r="G202" s="2" t="str">
        <f>IFERROR(VLOOKUP(F202,Picks!$A$2:$B$231,2,0),"")</f>
        <v>Vidal</v>
      </c>
      <c r="H202" s="2">
        <v>25</v>
      </c>
      <c r="I202" s="4">
        <v>0.65789473684210531</v>
      </c>
      <c r="J202" s="4">
        <v>3.31</v>
      </c>
      <c r="K202" s="4">
        <v>2.177631578947369</v>
      </c>
      <c r="L202" s="4">
        <v>0.67408612599812345</v>
      </c>
      <c r="M202" s="2" t="s">
        <v>621</v>
      </c>
      <c r="N202" s="2">
        <v>30</v>
      </c>
      <c r="O202" s="4">
        <v>-2.834005403362974</v>
      </c>
      <c r="P202" s="4">
        <v>-3.1581291884983278</v>
      </c>
      <c r="Q202" s="4">
        <v>-3.898516562692651</v>
      </c>
      <c r="R202" s="4">
        <v>-2.0475481272068441</v>
      </c>
      <c r="S202" s="2">
        <v>-1.546999999999999</v>
      </c>
      <c r="T202" s="2">
        <v>-1.135973585427533</v>
      </c>
      <c r="U202" s="2" t="s">
        <v>655</v>
      </c>
      <c r="V202" s="2">
        <v>203</v>
      </c>
      <c r="W202" s="4">
        <v>-1.180304626669779</v>
      </c>
      <c r="X202" s="4">
        <v>-1.315295478400341</v>
      </c>
      <c r="Y202" s="4">
        <v>-1.438019702974326</v>
      </c>
      <c r="Z202" s="4">
        <v>-1.1312091415393619</v>
      </c>
      <c r="AA202" s="2">
        <v>-1.590550000000001</v>
      </c>
      <c r="AB202" s="2">
        <v>-1.2240653285240819</v>
      </c>
    </row>
    <row r="203" spans="1:28" x14ac:dyDescent="0.2">
      <c r="A203" s="2">
        <v>105373</v>
      </c>
      <c r="C203" s="2" t="s">
        <v>351</v>
      </c>
      <c r="D203" s="2" t="s">
        <v>45</v>
      </c>
      <c r="E203" s="2" t="s">
        <v>53</v>
      </c>
      <c r="F203" s="2">
        <v>203</v>
      </c>
      <c r="G203" s="2" t="str">
        <f>IFERROR(VLOOKUP(F203,Picks!$A$2:$B$231,2,0),"")</f>
        <v>Fellipe</v>
      </c>
      <c r="I203" s="4"/>
      <c r="J203" s="4"/>
      <c r="K203" s="4"/>
      <c r="L203" s="4"/>
      <c r="O203" s="4"/>
      <c r="P203" s="4"/>
      <c r="Q203" s="4"/>
      <c r="R203" s="4"/>
      <c r="W203" s="4"/>
      <c r="X203" s="4"/>
      <c r="Y203" s="4"/>
      <c r="Z203" s="4"/>
    </row>
    <row r="204" spans="1:28" x14ac:dyDescent="0.2">
      <c r="A204" s="2">
        <v>100842</v>
      </c>
      <c r="C204" s="2" t="s">
        <v>289</v>
      </c>
      <c r="D204" s="2" t="s">
        <v>26</v>
      </c>
      <c r="E204" s="2" t="s">
        <v>53</v>
      </c>
      <c r="F204" s="2">
        <v>204</v>
      </c>
      <c r="G204" s="2" t="str">
        <f>IFERROR(VLOOKUP(F204,Picks!$A$2:$B$231,2,0),"")</f>
        <v>Carlos</v>
      </c>
      <c r="H204" s="2">
        <v>9</v>
      </c>
      <c r="I204" s="4">
        <v>0.3</v>
      </c>
      <c r="J204" s="4">
        <v>4.2699999999999996</v>
      </c>
      <c r="K204" s="4">
        <v>1.2809999999999999</v>
      </c>
      <c r="L204" s="4">
        <v>0.9532796383881893</v>
      </c>
      <c r="M204" s="2" t="s">
        <v>648</v>
      </c>
      <c r="N204" s="2">
        <v>23</v>
      </c>
      <c r="O204" s="4">
        <v>-1.8589000800463831</v>
      </c>
      <c r="P204" s="4">
        <v>-2.35303807600808</v>
      </c>
      <c r="Q204" s="4">
        <v>-1.479269051260883</v>
      </c>
      <c r="R204" s="4">
        <v>-3.6636916131288739</v>
      </c>
      <c r="S204" s="2">
        <v>-0.58699999999999974</v>
      </c>
      <c r="T204" s="2">
        <v>-2.032605164374901</v>
      </c>
      <c r="U204" s="2" t="s">
        <v>621</v>
      </c>
      <c r="V204" s="2">
        <v>164</v>
      </c>
      <c r="W204" s="4">
        <v>-0.88952284553957273</v>
      </c>
      <c r="X204" s="4">
        <v>-1.1259782854931299</v>
      </c>
      <c r="Y204" s="4">
        <v>-0.57008162189837652</v>
      </c>
      <c r="Z204" s="4">
        <v>-1.95982328088526</v>
      </c>
      <c r="AA204" s="2">
        <v>-0.63055000000000128</v>
      </c>
      <c r="AB204" s="2">
        <v>-2.120696907471451</v>
      </c>
    </row>
    <row r="205" spans="1:28" x14ac:dyDescent="0.2">
      <c r="A205" s="2">
        <v>42500</v>
      </c>
      <c r="C205" s="2" t="s">
        <v>36</v>
      </c>
      <c r="D205" s="2" t="s">
        <v>35</v>
      </c>
      <c r="E205" s="2" t="s">
        <v>37</v>
      </c>
      <c r="F205" s="2">
        <v>205</v>
      </c>
      <c r="G205" s="2" t="str">
        <f>IFERROR(VLOOKUP(F205,Picks!$A$2:$B$231,2,0),"")</f>
        <v>Fernando</v>
      </c>
      <c r="I205" s="4"/>
      <c r="J205" s="4"/>
      <c r="K205" s="4"/>
      <c r="L205" s="4"/>
      <c r="M205" s="2" t="s">
        <v>619</v>
      </c>
      <c r="N205" s="2">
        <v>18</v>
      </c>
      <c r="O205" s="4"/>
      <c r="P205" s="4"/>
      <c r="Q205" s="4"/>
      <c r="R205" s="4"/>
      <c r="U205" s="2" t="s">
        <v>619</v>
      </c>
      <c r="V205" s="2">
        <v>95</v>
      </c>
      <c r="W205" s="4"/>
      <c r="X205" s="4"/>
      <c r="Y205" s="4"/>
      <c r="Z205" s="4"/>
    </row>
    <row r="206" spans="1:28" x14ac:dyDescent="0.2">
      <c r="A206" s="2">
        <v>101254</v>
      </c>
      <c r="C206" s="2" t="s">
        <v>295</v>
      </c>
      <c r="D206" s="2" t="s">
        <v>118</v>
      </c>
      <c r="E206" s="2" t="s">
        <v>27</v>
      </c>
      <c r="F206" s="2">
        <v>206</v>
      </c>
      <c r="G206" s="2" t="str">
        <f>IFERROR(VLOOKUP(F206,Picks!$A$2:$B$231,2,0),"")</f>
        <v>Rodolfo</v>
      </c>
      <c r="I206" s="4"/>
      <c r="J206" s="4"/>
      <c r="K206" s="4"/>
      <c r="L206" s="4"/>
      <c r="M206" s="2" t="s">
        <v>621</v>
      </c>
      <c r="N206" s="2">
        <v>53</v>
      </c>
      <c r="O206" s="4"/>
      <c r="P206" s="4"/>
      <c r="Q206" s="4"/>
      <c r="R206" s="4"/>
      <c r="U206" s="2" t="s">
        <v>621</v>
      </c>
      <c r="V206" s="2">
        <v>167</v>
      </c>
      <c r="W206" s="4"/>
      <c r="X206" s="4"/>
      <c r="Y206" s="4"/>
      <c r="Z206" s="4"/>
    </row>
    <row r="207" spans="1:28" x14ac:dyDescent="0.2">
      <c r="A207" s="2">
        <v>116447</v>
      </c>
      <c r="C207" s="2" t="s">
        <v>462</v>
      </c>
      <c r="D207" s="2" t="s">
        <v>23</v>
      </c>
      <c r="E207" s="2" t="s">
        <v>29</v>
      </c>
      <c r="F207" s="2">
        <v>207</v>
      </c>
      <c r="G207" s="2" t="str">
        <f>IFERROR(VLOOKUP(F207,Picks!$A$2:$B$231,2,0),"")</f>
        <v>Petindá</v>
      </c>
      <c r="H207" s="2">
        <v>32</v>
      </c>
      <c r="I207" s="4">
        <v>0.84210526315789469</v>
      </c>
      <c r="J207" s="4">
        <v>2.94</v>
      </c>
      <c r="K207" s="4">
        <v>2.4757894736842099</v>
      </c>
      <c r="L207" s="4">
        <v>0.72295446460668378</v>
      </c>
      <c r="M207" s="2" t="s">
        <v>653</v>
      </c>
      <c r="N207" s="2">
        <v>49</v>
      </c>
      <c r="O207" s="4">
        <v>-1.2615718337669739</v>
      </c>
      <c r="P207" s="4">
        <v>-1.324301924948758</v>
      </c>
      <c r="Q207" s="4">
        <v>-1.5562700063601891</v>
      </c>
      <c r="R207" s="4">
        <v>-0.97634980283161055</v>
      </c>
      <c r="S207" s="2">
        <v>-1.937333333333334</v>
      </c>
      <c r="T207" s="2">
        <v>-1.1218307314036731</v>
      </c>
      <c r="U207" s="2" t="s">
        <v>621</v>
      </c>
      <c r="V207" s="2">
        <v>181</v>
      </c>
      <c r="W207" s="4">
        <v>-1.339200107073738</v>
      </c>
      <c r="X207" s="4">
        <v>-1.4057901676464659</v>
      </c>
      <c r="Y207" s="4">
        <v>-1.772537505055682</v>
      </c>
      <c r="Z207" s="4">
        <v>-0.85566916153264105</v>
      </c>
      <c r="AA207" s="2">
        <v>-1.9605500000000009</v>
      </c>
      <c r="AB207" s="2">
        <v>-0.92590743378724039</v>
      </c>
    </row>
    <row r="208" spans="1:28" x14ac:dyDescent="0.2">
      <c r="A208" s="2">
        <v>117330</v>
      </c>
      <c r="C208" s="2" t="s">
        <v>465</v>
      </c>
      <c r="D208" s="2" t="s">
        <v>67</v>
      </c>
      <c r="E208" s="2" t="s">
        <v>53</v>
      </c>
      <c r="F208" s="2">
        <v>208</v>
      </c>
      <c r="G208" s="2" t="str">
        <f>IFERROR(VLOOKUP(F208,Picks!$A$2:$B$231,2,0),"")</f>
        <v>Fochesato</v>
      </c>
      <c r="H208" s="2">
        <v>15</v>
      </c>
      <c r="I208" s="4">
        <v>0.83333333333333337</v>
      </c>
      <c r="J208" s="4">
        <v>2.57</v>
      </c>
      <c r="K208" s="4">
        <v>2.1416666666666671</v>
      </c>
      <c r="L208" s="4">
        <v>1.233147442270828</v>
      </c>
      <c r="M208" s="2" t="s">
        <v>656</v>
      </c>
      <c r="N208" s="2">
        <v>58</v>
      </c>
      <c r="O208" s="4">
        <v>-4.0878132385860422</v>
      </c>
      <c r="P208" s="4">
        <v>-4.3029613037747811</v>
      </c>
      <c r="Q208" s="4">
        <v>-5.7633531860879748</v>
      </c>
      <c r="R208" s="4">
        <v>-2.1123734803049921</v>
      </c>
      <c r="S208" s="2">
        <v>-2.286999999999999</v>
      </c>
      <c r="T208" s="2">
        <v>-1.171938497708235</v>
      </c>
      <c r="U208" s="2" t="s">
        <v>656</v>
      </c>
      <c r="V208" s="2">
        <v>289</v>
      </c>
      <c r="W208" s="4">
        <v>-1.6435109279160429</v>
      </c>
      <c r="X208" s="4">
        <v>-1.7300115030695189</v>
      </c>
      <c r="Y208" s="4">
        <v>-2.1070553071370379</v>
      </c>
      <c r="Z208" s="4">
        <v>-1.16444579696824</v>
      </c>
      <c r="AA208" s="2">
        <v>-2.330550000000001</v>
      </c>
      <c r="AB208" s="2">
        <v>-1.2600302408047841</v>
      </c>
    </row>
    <row r="209" spans="1:28" x14ac:dyDescent="0.2">
      <c r="A209" s="2">
        <v>132264</v>
      </c>
      <c r="C209" s="2" t="s">
        <v>556</v>
      </c>
      <c r="D209" s="2" t="s">
        <v>35</v>
      </c>
      <c r="E209" s="2" t="s">
        <v>27</v>
      </c>
      <c r="F209" s="2">
        <v>209</v>
      </c>
      <c r="G209" s="2" t="str">
        <f>IFERROR(VLOOKUP(F209,Picks!$A$2:$B$231,2,0),"")</f>
        <v>Anuda</v>
      </c>
      <c r="H209" s="2">
        <v>13</v>
      </c>
      <c r="I209" s="4">
        <v>0.8125</v>
      </c>
      <c r="J209" s="4">
        <v>4.3499999999999996</v>
      </c>
      <c r="K209" s="4">
        <v>3.5343749999999998</v>
      </c>
      <c r="L209" s="4">
        <v>1.8686925019025109</v>
      </c>
      <c r="M209" s="2" t="s">
        <v>619</v>
      </c>
      <c r="N209" s="2">
        <v>28</v>
      </c>
      <c r="O209" s="4">
        <v>-0.85873597336159546</v>
      </c>
      <c r="P209" s="4">
        <v>-0.909918912171227</v>
      </c>
      <c r="Q209" s="4">
        <v>-1.015303093483561</v>
      </c>
      <c r="R209" s="4">
        <v>-0.75184264020272629</v>
      </c>
      <c r="S209" s="2">
        <v>-1.321333333333333</v>
      </c>
      <c r="T209" s="2">
        <v>-0.82455751065465588</v>
      </c>
      <c r="U209" s="2" t="s">
        <v>649</v>
      </c>
      <c r="V209" s="2">
        <v>74</v>
      </c>
      <c r="W209" s="4">
        <v>-0.235566375060688</v>
      </c>
      <c r="X209" s="4">
        <v>-0.24960675503119259</v>
      </c>
      <c r="Y209" s="4">
        <v>-0.49775344847538061</v>
      </c>
      <c r="Z209" s="4">
        <v>0.1226132851350894</v>
      </c>
      <c r="AA209" s="2">
        <v>-0.55055000000000121</v>
      </c>
      <c r="AB209" s="2">
        <v>0.13267809252854909</v>
      </c>
    </row>
    <row r="210" spans="1:28" x14ac:dyDescent="0.2">
      <c r="A210" s="2">
        <v>99889</v>
      </c>
      <c r="C210" s="2" t="s">
        <v>28</v>
      </c>
      <c r="D210" s="2" t="s">
        <v>52</v>
      </c>
      <c r="E210" s="2" t="s">
        <v>53</v>
      </c>
      <c r="F210" s="2">
        <v>210</v>
      </c>
      <c r="G210" s="2" t="str">
        <f>IFERROR(VLOOKUP(F210,Picks!$A$2:$B$231,2,0),"")</f>
        <v>Sousa</v>
      </c>
      <c r="H210" s="2">
        <v>28</v>
      </c>
      <c r="I210" s="4">
        <v>0.73684210526315785</v>
      </c>
      <c r="J210" s="4">
        <v>2.6</v>
      </c>
      <c r="K210" s="4">
        <v>1.91578947368421</v>
      </c>
      <c r="L210" s="4">
        <v>0.93742865067517822</v>
      </c>
      <c r="M210" s="2" t="s">
        <v>623</v>
      </c>
      <c r="N210" s="2">
        <v>45</v>
      </c>
      <c r="O210" s="4">
        <v>-4.0714711107067876</v>
      </c>
      <c r="P210" s="4">
        <v>-4.4204543487673691</v>
      </c>
      <c r="Q210" s="4">
        <v>-5.6877517013557313</v>
      </c>
      <c r="R210" s="4">
        <v>-2.5195083198848258</v>
      </c>
      <c r="S210" s="2">
        <v>-2.2569999999999988</v>
      </c>
      <c r="T210" s="2">
        <v>-1.3978156906906909</v>
      </c>
      <c r="U210" s="2" t="s">
        <v>623</v>
      </c>
      <c r="V210" s="2">
        <v>262</v>
      </c>
      <c r="W210" s="4">
        <v>-1.655347683396607</v>
      </c>
      <c r="X210" s="4">
        <v>-1.7972346276877449</v>
      </c>
      <c r="Y210" s="4">
        <v>-2.0799322421034141</v>
      </c>
      <c r="Z210" s="4">
        <v>-1.373188206064242</v>
      </c>
      <c r="AA210" s="2">
        <v>-2.3005500000000012</v>
      </c>
      <c r="AB210" s="2">
        <v>-1.48590743378724</v>
      </c>
    </row>
    <row r="211" spans="1:28" x14ac:dyDescent="0.2">
      <c r="A211" s="2">
        <v>96353</v>
      </c>
      <c r="C211" s="2" t="s">
        <v>242</v>
      </c>
      <c r="D211" s="2" t="s">
        <v>61</v>
      </c>
      <c r="E211" s="2" t="s">
        <v>27</v>
      </c>
      <c r="F211" s="2">
        <v>211</v>
      </c>
      <c r="G211" s="2" t="str">
        <f>IFERROR(VLOOKUP(F211,Picks!$A$2:$B$231,2,0),"")</f>
        <v>Sousa</v>
      </c>
      <c r="H211" s="2">
        <v>18</v>
      </c>
      <c r="I211" s="4">
        <v>0.66666666666666663</v>
      </c>
      <c r="J211" s="4">
        <v>3.01</v>
      </c>
      <c r="K211" s="4">
        <v>2.0066666666666659</v>
      </c>
      <c r="L211" s="4">
        <v>0.7787136006227654</v>
      </c>
      <c r="O211" s="4">
        <v>-1.8764107013822819</v>
      </c>
      <c r="P211" s="4">
        <v>-2.0849007793136471</v>
      </c>
      <c r="Q211" s="4">
        <v>-2.0449495202756691</v>
      </c>
      <c r="R211" s="4">
        <v>-2.1448276678706142</v>
      </c>
      <c r="S211" s="2">
        <v>-2.6613333333333329</v>
      </c>
      <c r="T211" s="2">
        <v>-2.3522658439879889</v>
      </c>
      <c r="W211" s="4">
        <v>-1.3871089376324051</v>
      </c>
      <c r="X211" s="4">
        <v>-1.541232152924894</v>
      </c>
      <c r="Y211" s="4">
        <v>-1.709250353310561</v>
      </c>
      <c r="Z211" s="4">
        <v>-1.2892048523463939</v>
      </c>
      <c r="AA211" s="2">
        <v>-1.8905500000000011</v>
      </c>
      <c r="AB211" s="2">
        <v>-1.3950302408047841</v>
      </c>
    </row>
    <row r="212" spans="1:28" x14ac:dyDescent="0.2">
      <c r="A212" s="2">
        <v>39656</v>
      </c>
      <c r="C212" s="2" t="s">
        <v>28</v>
      </c>
      <c r="D212" s="2" t="s">
        <v>26</v>
      </c>
      <c r="E212" s="2" t="s">
        <v>29</v>
      </c>
      <c r="F212" s="2">
        <v>212</v>
      </c>
      <c r="G212" s="2" t="str">
        <f>IFERROR(VLOOKUP(F212,Picks!$A$2:$B$231,2,0),"")</f>
        <v>Anuda</v>
      </c>
      <c r="H212" s="2">
        <v>26</v>
      </c>
      <c r="I212" s="4">
        <v>0.68421052631578949</v>
      </c>
      <c r="J212" s="4">
        <v>2.38</v>
      </c>
      <c r="K212" s="4">
        <v>1.628421052631579</v>
      </c>
      <c r="L212" s="4">
        <v>0.51608032775350765</v>
      </c>
      <c r="M212" s="2" t="s">
        <v>655</v>
      </c>
      <c r="N212" s="2">
        <v>75</v>
      </c>
      <c r="O212" s="4">
        <v>-1.710227301558781</v>
      </c>
      <c r="P212" s="4">
        <v>-1.8892045773033039</v>
      </c>
      <c r="Q212" s="4">
        <v>-2.0061209373108291</v>
      </c>
      <c r="R212" s="4">
        <v>-1.713830037292017</v>
      </c>
      <c r="S212" s="2">
        <v>-2.4973333333333341</v>
      </c>
      <c r="T212" s="2">
        <v>-1.9691991524563039</v>
      </c>
      <c r="U212" s="2" t="s">
        <v>657</v>
      </c>
      <c r="V212" s="2">
        <v>240</v>
      </c>
      <c r="W212" s="4">
        <v>-1.831169671769205</v>
      </c>
      <c r="X212" s="4">
        <v>-2.0228037071869118</v>
      </c>
      <c r="Y212" s="4">
        <v>-2.2788347190166531</v>
      </c>
      <c r="Z212" s="4">
        <v>-1.6387571894423001</v>
      </c>
      <c r="AA212" s="2">
        <v>-2.520550000000001</v>
      </c>
      <c r="AB212" s="2">
        <v>-1.7732758548398719</v>
      </c>
    </row>
    <row r="213" spans="1:28" x14ac:dyDescent="0.2">
      <c r="A213" s="2">
        <v>80196</v>
      </c>
      <c r="C213" s="2" t="s">
        <v>117</v>
      </c>
      <c r="D213" s="2" t="s">
        <v>118</v>
      </c>
      <c r="E213" s="2" t="s">
        <v>29</v>
      </c>
      <c r="F213" s="2">
        <v>213</v>
      </c>
      <c r="G213" s="2" t="str">
        <f>IFERROR(VLOOKUP(F213,Picks!$A$2:$B$231,2,0),"")</f>
        <v>Fochesato</v>
      </c>
      <c r="H213" s="2">
        <v>28</v>
      </c>
      <c r="I213" s="4">
        <v>0.73684210526315785</v>
      </c>
      <c r="J213" s="4">
        <v>1.97</v>
      </c>
      <c r="K213" s="4">
        <v>1.4515789473684211</v>
      </c>
      <c r="L213" s="4">
        <v>0.75196225049768428</v>
      </c>
      <c r="M213" s="2" t="s">
        <v>653</v>
      </c>
      <c r="N213" s="2">
        <v>55</v>
      </c>
      <c r="O213" s="4">
        <v>-1.9787721875770241</v>
      </c>
      <c r="P213" s="4">
        <v>-2.148381232226483</v>
      </c>
      <c r="Q213" s="4">
        <v>-2.3354760831854038</v>
      </c>
      <c r="R213" s="4">
        <v>-1.8677389557881019</v>
      </c>
      <c r="S213" s="2">
        <v>-2.9073333333333342</v>
      </c>
      <c r="T213" s="2">
        <v>-2.1460412577194621</v>
      </c>
      <c r="U213" s="2" t="s">
        <v>621</v>
      </c>
      <c r="V213" s="2">
        <v>188</v>
      </c>
      <c r="W213" s="4">
        <v>-2.1281691671029082</v>
      </c>
      <c r="X213" s="4">
        <v>-2.3105836671403002</v>
      </c>
      <c r="Y213" s="4">
        <v>-2.6495166078095069</v>
      </c>
      <c r="Z213" s="4">
        <v>-1.80218425613649</v>
      </c>
      <c r="AA213" s="2">
        <v>-2.9305500000000011</v>
      </c>
      <c r="AB213" s="2">
        <v>-1.9501179601030301</v>
      </c>
    </row>
    <row r="214" spans="1:28" x14ac:dyDescent="0.2">
      <c r="A214" s="2">
        <v>94154</v>
      </c>
      <c r="C214" s="2" t="s">
        <v>227</v>
      </c>
      <c r="D214" s="2" t="s">
        <v>26</v>
      </c>
      <c r="E214" s="2" t="s">
        <v>29</v>
      </c>
      <c r="F214" s="2">
        <v>214</v>
      </c>
      <c r="G214" s="2" t="str">
        <f>IFERROR(VLOOKUP(F214,Picks!$A$2:$B$231,2,0),"")</f>
        <v>Petindá</v>
      </c>
      <c r="H214" s="2">
        <v>25</v>
      </c>
      <c r="I214" s="4">
        <v>0.65789473684210531</v>
      </c>
      <c r="J214" s="4">
        <v>2.25</v>
      </c>
      <c r="K214" s="4">
        <v>1.4802631578947369</v>
      </c>
      <c r="L214" s="4">
        <v>0.53643103038099749</v>
      </c>
      <c r="M214" s="2" t="s">
        <v>655</v>
      </c>
      <c r="N214" s="2">
        <v>77</v>
      </c>
      <c r="O214" s="4">
        <v>-1.7978239651150161</v>
      </c>
      <c r="P214" s="4">
        <v>-2.0034401957293428</v>
      </c>
      <c r="Q214" s="4">
        <v>-2.1105506177100839</v>
      </c>
      <c r="R214" s="4">
        <v>-1.842774562758231</v>
      </c>
      <c r="S214" s="2">
        <v>-2.627333333333334</v>
      </c>
      <c r="T214" s="2">
        <v>-2.117357047193146</v>
      </c>
      <c r="U214" s="2" t="s">
        <v>657</v>
      </c>
      <c r="V214" s="2">
        <v>243</v>
      </c>
      <c r="W214" s="4">
        <v>-1.927629207721163</v>
      </c>
      <c r="X214" s="4">
        <v>-2.148091199220064</v>
      </c>
      <c r="Y214" s="4">
        <v>-2.3963680008290211</v>
      </c>
      <c r="Z214" s="4">
        <v>-1.775675996806628</v>
      </c>
      <c r="AA214" s="2">
        <v>-2.6505500000000008</v>
      </c>
      <c r="AB214" s="2">
        <v>-1.921433749576714</v>
      </c>
    </row>
    <row r="215" spans="1:28" x14ac:dyDescent="0.2">
      <c r="A215" s="2">
        <v>91866</v>
      </c>
      <c r="C215" s="2" t="s">
        <v>209</v>
      </c>
      <c r="D215" s="2" t="s">
        <v>50</v>
      </c>
      <c r="E215" s="2" t="s">
        <v>53</v>
      </c>
      <c r="F215" s="2">
        <v>215</v>
      </c>
      <c r="G215" s="2" t="str">
        <f>IFERROR(VLOOKUP(F215,Picks!$A$2:$B$231,2,0),"")</f>
        <v>Rodolfo</v>
      </c>
      <c r="H215" s="2">
        <v>20</v>
      </c>
      <c r="I215" s="4">
        <v>0.52631578947368418</v>
      </c>
      <c r="J215" s="4">
        <v>4.12</v>
      </c>
      <c r="K215" s="4">
        <v>2.168421052631579</v>
      </c>
      <c r="L215" s="4">
        <v>0.83442470023953852</v>
      </c>
      <c r="O215" s="4">
        <v>-1.664337907512573</v>
      </c>
      <c r="P215" s="4">
        <v>-1.940025781763123</v>
      </c>
      <c r="Q215" s="4">
        <v>-1.857276474922096</v>
      </c>
      <c r="R215" s="4">
        <v>-2.0641497420246622</v>
      </c>
      <c r="S215" s="2">
        <v>-0.73699999999999921</v>
      </c>
      <c r="T215" s="2">
        <v>-1.1451841117433219</v>
      </c>
      <c r="W215" s="4">
        <v>-0.75435246595851835</v>
      </c>
      <c r="X215" s="4">
        <v>-0.87930655541176983</v>
      </c>
      <c r="Y215" s="4">
        <v>-0.70569694706649322</v>
      </c>
      <c r="Z215" s="4">
        <v>-1.1397209679296849</v>
      </c>
      <c r="AA215" s="2">
        <v>-0.78055000000000074</v>
      </c>
      <c r="AB215" s="2">
        <v>-1.2332758548398719</v>
      </c>
    </row>
    <row r="216" spans="1:28" x14ac:dyDescent="0.2">
      <c r="A216" s="2">
        <v>97095</v>
      </c>
      <c r="C216" s="2" t="s">
        <v>248</v>
      </c>
      <c r="D216" s="2" t="s">
        <v>67</v>
      </c>
      <c r="E216" s="2" t="s">
        <v>53</v>
      </c>
      <c r="F216" s="2">
        <v>216</v>
      </c>
      <c r="G216" s="2" t="str">
        <f>IFERROR(VLOOKUP(F216,Picks!$A$2:$B$231,2,0),"")</f>
        <v>Fernando</v>
      </c>
      <c r="H216" s="2">
        <v>12</v>
      </c>
      <c r="I216" s="4">
        <v>0.75</v>
      </c>
      <c r="J216" s="4">
        <v>3.71</v>
      </c>
      <c r="K216" s="4">
        <v>2.7825000000000002</v>
      </c>
      <c r="L216" s="4">
        <v>1.3771250245832201</v>
      </c>
      <c r="M216" s="2" t="s">
        <v>621</v>
      </c>
      <c r="N216" s="2">
        <v>26</v>
      </c>
      <c r="O216" s="4">
        <v>-1.9584253605212261</v>
      </c>
      <c r="P216" s="4">
        <v>-2.1172166059688919</v>
      </c>
      <c r="Q216" s="4">
        <v>-2.8904967662627481</v>
      </c>
      <c r="R216" s="4">
        <v>-0.95729636552810937</v>
      </c>
      <c r="S216" s="2">
        <v>-1.1469999999999989</v>
      </c>
      <c r="T216" s="2">
        <v>-0.53110516437490141</v>
      </c>
      <c r="U216" s="2" t="s">
        <v>655</v>
      </c>
      <c r="V216" s="2">
        <v>197</v>
      </c>
      <c r="W216" s="4">
        <v>-0.80911363071385289</v>
      </c>
      <c r="X216" s="4">
        <v>-0.87471743860957063</v>
      </c>
      <c r="Y216" s="4">
        <v>-1.0763788358593469</v>
      </c>
      <c r="Z216" s="4">
        <v>-0.57222534273490577</v>
      </c>
      <c r="AA216" s="2">
        <v>-1.1905500000000011</v>
      </c>
      <c r="AB216" s="2">
        <v>-0.61919690747145095</v>
      </c>
    </row>
    <row r="217" spans="1:28" x14ac:dyDescent="0.2">
      <c r="A217" s="2">
        <v>113113</v>
      </c>
      <c r="C217" s="2" t="s">
        <v>440</v>
      </c>
      <c r="D217" s="2" t="s">
        <v>43</v>
      </c>
      <c r="E217" s="2" t="s">
        <v>37</v>
      </c>
      <c r="F217" s="2">
        <v>217</v>
      </c>
      <c r="G217" s="2" t="str">
        <f>IFERROR(VLOOKUP(F217,Picks!$A$2:$B$231,2,0),"")</f>
        <v>Carlos</v>
      </c>
      <c r="I217" s="4"/>
      <c r="J217" s="4"/>
      <c r="K217" s="4"/>
      <c r="L217" s="4"/>
      <c r="M217" s="2" t="s">
        <v>621</v>
      </c>
      <c r="N217" s="2">
        <v>43</v>
      </c>
      <c r="O217" s="4"/>
      <c r="P217" s="4"/>
      <c r="Q217" s="4"/>
      <c r="R217" s="4"/>
      <c r="U217" s="2" t="s">
        <v>621</v>
      </c>
      <c r="V217" s="2">
        <v>163</v>
      </c>
      <c r="W217" s="4"/>
      <c r="X217" s="4"/>
      <c r="Y217" s="4"/>
      <c r="Z217" s="4"/>
    </row>
    <row r="218" spans="1:28" x14ac:dyDescent="0.2">
      <c r="A218" s="2">
        <v>90943</v>
      </c>
      <c r="C218" s="2" t="s">
        <v>201</v>
      </c>
      <c r="D218" s="2" t="s">
        <v>33</v>
      </c>
      <c r="E218" s="2" t="s">
        <v>53</v>
      </c>
      <c r="F218" s="2">
        <v>218</v>
      </c>
      <c r="G218" s="2" t="str">
        <f>IFERROR(VLOOKUP(F218,Picks!$A$2:$B$231,2,0),"")</f>
        <v>Fellipe</v>
      </c>
      <c r="H218" s="2">
        <v>27</v>
      </c>
      <c r="I218" s="4">
        <v>0.71052631578947367</v>
      </c>
      <c r="J218" s="4">
        <v>2.68</v>
      </c>
      <c r="K218" s="4">
        <v>1.90421052631579</v>
      </c>
      <c r="L218" s="4">
        <v>0.62643791916824043</v>
      </c>
      <c r="M218" s="2" t="s">
        <v>623</v>
      </c>
      <c r="N218" s="2">
        <v>48</v>
      </c>
      <c r="O218" s="4">
        <v>-3.933738300487077</v>
      </c>
      <c r="P218" s="4">
        <v>-4.3078402137898832</v>
      </c>
      <c r="Q218" s="4">
        <v>-5.4861477420697504</v>
      </c>
      <c r="R218" s="4">
        <v>-2.5403789213700829</v>
      </c>
      <c r="S218" s="2">
        <v>-2.1769999999999992</v>
      </c>
      <c r="T218" s="2">
        <v>-1.409394638059112</v>
      </c>
      <c r="U218" s="2" t="s">
        <v>623</v>
      </c>
      <c r="V218" s="2">
        <v>261</v>
      </c>
      <c r="W218" s="4">
        <v>-1.605439291704156</v>
      </c>
      <c r="X218" s="4">
        <v>-1.7581179563330811</v>
      </c>
      <c r="Y218" s="4">
        <v>-2.007604068680418</v>
      </c>
      <c r="Z218" s="4">
        <v>-1.3838887878120749</v>
      </c>
      <c r="AA218" s="2">
        <v>-2.2205500000000011</v>
      </c>
      <c r="AB218" s="2">
        <v>-1.4974863811556609</v>
      </c>
    </row>
    <row r="219" spans="1:28" x14ac:dyDescent="0.2">
      <c r="A219" s="2">
        <v>122485</v>
      </c>
      <c r="C219" s="2" t="s">
        <v>490</v>
      </c>
      <c r="D219" s="2" t="s">
        <v>67</v>
      </c>
      <c r="E219" s="2" t="s">
        <v>29</v>
      </c>
      <c r="F219" s="2">
        <v>219</v>
      </c>
      <c r="G219" s="2" t="str">
        <f>IFERROR(VLOOKUP(F219,Picks!$A$2:$B$231,2,0),"")</f>
        <v>Vidal</v>
      </c>
      <c r="H219" s="2">
        <v>16</v>
      </c>
      <c r="I219" s="4">
        <v>0.8</v>
      </c>
      <c r="J219" s="4">
        <v>3.26</v>
      </c>
      <c r="K219" s="4">
        <v>2.6080000000000001</v>
      </c>
      <c r="L219" s="4">
        <v>1.2582212800114629</v>
      </c>
      <c r="M219" s="2" t="s">
        <v>648</v>
      </c>
      <c r="N219" s="2">
        <v>42</v>
      </c>
      <c r="O219" s="4">
        <v>-1.0565987509594501</v>
      </c>
      <c r="P219" s="4">
        <v>-1.1240412244249469</v>
      </c>
      <c r="Q219" s="4">
        <v>-1.299212331531252</v>
      </c>
      <c r="R219" s="4">
        <v>-0.86128456376548979</v>
      </c>
      <c r="S219" s="2">
        <v>-1.617333333333334</v>
      </c>
      <c r="T219" s="2">
        <v>-0.98962020508788306</v>
      </c>
      <c r="U219" s="2" t="s">
        <v>621</v>
      </c>
      <c r="V219" s="2">
        <v>172</v>
      </c>
      <c r="W219" s="4">
        <v>-1.112330271673535</v>
      </c>
      <c r="X219" s="4">
        <v>-1.183330076248442</v>
      </c>
      <c r="Y219" s="4">
        <v>-1.483224811363699</v>
      </c>
      <c r="Z219" s="4">
        <v>-0.73348797357555606</v>
      </c>
      <c r="AA219" s="2">
        <v>-1.6405500000000011</v>
      </c>
      <c r="AB219" s="2">
        <v>-0.79369690747145061</v>
      </c>
    </row>
    <row r="220" spans="1:28" x14ac:dyDescent="0.2">
      <c r="A220" s="2">
        <v>82455</v>
      </c>
      <c r="C220" s="2" t="s">
        <v>128</v>
      </c>
      <c r="D220" s="2" t="s">
        <v>50</v>
      </c>
      <c r="E220" s="2" t="s">
        <v>29</v>
      </c>
      <c r="F220" s="11">
        <v>220</v>
      </c>
      <c r="G220" s="2" t="str">
        <f>IFERROR(VLOOKUP(F220,Picks!$A$2:$B$231,2,0),"")</f>
        <v>Massa</v>
      </c>
      <c r="H220" s="2">
        <v>26</v>
      </c>
      <c r="I220" s="4">
        <v>0.72222222222222221</v>
      </c>
      <c r="J220" s="4">
        <v>4.3</v>
      </c>
      <c r="K220" s="4">
        <v>3.1055555555555552</v>
      </c>
      <c r="L220" s="4">
        <v>1.6343138699150861</v>
      </c>
      <c r="M220" s="2" t="s">
        <v>647</v>
      </c>
      <c r="N220" s="2">
        <v>16</v>
      </c>
      <c r="O220" s="4">
        <v>-0.41210223868756918</v>
      </c>
      <c r="P220" s="4">
        <v>-0.44956607856825731</v>
      </c>
      <c r="Q220" s="4">
        <v>-0.46377488833720731</v>
      </c>
      <c r="R220" s="4">
        <v>-0.42825286391483242</v>
      </c>
      <c r="S220" s="2">
        <v>-0.5773333333333337</v>
      </c>
      <c r="T220" s="2">
        <v>-0.49206464953232798</v>
      </c>
      <c r="U220" s="2" t="s">
        <v>649</v>
      </c>
      <c r="V220" s="2">
        <v>86</v>
      </c>
      <c r="W220" s="4">
        <v>-0.39897522320346629</v>
      </c>
      <c r="X220" s="4">
        <v>-0.43524569804014512</v>
      </c>
      <c r="Y220" s="4">
        <v>-0.54295855686475281</v>
      </c>
      <c r="Z220" s="4">
        <v>-0.27367640980323349</v>
      </c>
      <c r="AA220" s="2">
        <v>-0.60055000000000103</v>
      </c>
      <c r="AB220" s="2">
        <v>-0.29614135191589552</v>
      </c>
    </row>
    <row r="221" spans="1:28" x14ac:dyDescent="0.2">
      <c r="A221" s="2">
        <v>105664</v>
      </c>
      <c r="C221" s="2" t="s">
        <v>358</v>
      </c>
      <c r="D221" s="2" t="s">
        <v>63</v>
      </c>
      <c r="E221" s="2" t="s">
        <v>37</v>
      </c>
      <c r="F221" s="11">
        <v>221</v>
      </c>
      <c r="G221" s="2" t="str">
        <f>IFERROR(VLOOKUP(F221,Picks!$A$2:$B$231,2,0),"")</f>
        <v>Massa</v>
      </c>
      <c r="I221" s="4"/>
      <c r="J221" s="4"/>
      <c r="K221" s="4"/>
      <c r="L221" s="4"/>
      <c r="M221" s="2" t="s">
        <v>619</v>
      </c>
      <c r="N221" s="2">
        <v>19</v>
      </c>
      <c r="O221" s="4"/>
      <c r="P221" s="4"/>
      <c r="Q221" s="4"/>
      <c r="R221" s="4"/>
      <c r="U221" s="2" t="s">
        <v>619</v>
      </c>
      <c r="V221" s="2">
        <v>102</v>
      </c>
      <c r="W221" s="4"/>
      <c r="X221" s="4"/>
      <c r="Y221" s="4"/>
      <c r="Z221" s="4"/>
    </row>
    <row r="222" spans="1:28" x14ac:dyDescent="0.2">
      <c r="A222" s="2">
        <v>139345</v>
      </c>
      <c r="C222" s="2" t="s">
        <v>572</v>
      </c>
      <c r="D222" s="2" t="s">
        <v>35</v>
      </c>
      <c r="E222" s="2" t="s">
        <v>37</v>
      </c>
      <c r="F222" s="2">
        <v>222</v>
      </c>
      <c r="G222" s="2" t="str">
        <f>IFERROR(VLOOKUP(F222,Picks!$A$2:$B$231,2,0),"")</f>
        <v>Vidal</v>
      </c>
      <c r="I222" s="4"/>
      <c r="J222" s="4"/>
      <c r="K222" s="4"/>
      <c r="L222" s="4"/>
      <c r="O222" s="4"/>
      <c r="P222" s="4"/>
      <c r="Q222" s="4"/>
      <c r="R222" s="4"/>
      <c r="W222" s="4"/>
      <c r="X222" s="4"/>
      <c r="Y222" s="4"/>
      <c r="Z222" s="4"/>
    </row>
    <row r="223" spans="1:28" x14ac:dyDescent="0.2">
      <c r="A223" s="2">
        <v>98384</v>
      </c>
      <c r="C223" s="2" t="s">
        <v>269</v>
      </c>
      <c r="D223" s="2" t="s">
        <v>41</v>
      </c>
      <c r="E223" s="2" t="s">
        <v>27</v>
      </c>
      <c r="F223" s="11">
        <v>223</v>
      </c>
      <c r="G223" s="2" t="str">
        <f>IFERROR(VLOOKUP(F223,Picks!$A$2:$B$231,2,0),"")</f>
        <v>Fellipe</v>
      </c>
      <c r="H223" s="2">
        <v>30</v>
      </c>
      <c r="I223" s="4">
        <v>0.78947368421052633</v>
      </c>
      <c r="J223" s="4">
        <v>4.5</v>
      </c>
      <c r="K223" s="4">
        <v>3.552631578947369</v>
      </c>
      <c r="L223" s="4">
        <v>1.4821765165369281</v>
      </c>
      <c r="M223" s="2" t="s">
        <v>649</v>
      </c>
      <c r="N223" s="2">
        <v>24</v>
      </c>
      <c r="O223" s="4">
        <v>-0.78142460678078107</v>
      </c>
      <c r="P223" s="4">
        <v>-0.83410491735027192</v>
      </c>
      <c r="Q223" s="4">
        <v>-0.90004416511130991</v>
      </c>
      <c r="R223" s="4">
        <v>-0.73519604570871522</v>
      </c>
      <c r="S223" s="2">
        <v>-1.1713333333333329</v>
      </c>
      <c r="T223" s="2">
        <v>-0.80630093170728712</v>
      </c>
      <c r="U223" s="2" t="s">
        <v>649</v>
      </c>
      <c r="V223" s="2">
        <v>70</v>
      </c>
      <c r="W223" s="4">
        <v>-0.15128959878359521</v>
      </c>
      <c r="X223" s="4">
        <v>-0.16148889757799489</v>
      </c>
      <c r="Y223" s="4">
        <v>-0.36213812330726308</v>
      </c>
      <c r="Z223" s="4">
        <v>0.13948494101590719</v>
      </c>
      <c r="AA223" s="2">
        <v>-0.40055000000000079</v>
      </c>
      <c r="AB223" s="2">
        <v>0.15093467147591791</v>
      </c>
    </row>
    <row r="224" spans="1:28" x14ac:dyDescent="0.2">
      <c r="A224" s="2">
        <v>146040</v>
      </c>
      <c r="C224" s="2" t="s">
        <v>179</v>
      </c>
      <c r="D224" s="2" t="s">
        <v>118</v>
      </c>
      <c r="E224" s="2" t="s">
        <v>27</v>
      </c>
      <c r="F224" s="2">
        <v>224</v>
      </c>
      <c r="G224" s="2" t="str">
        <f>IFERROR(VLOOKUP(F224,Picks!$A$2:$B$231,2,0),"")</f>
        <v>Carlos</v>
      </c>
      <c r="I224" s="4"/>
      <c r="J224" s="4"/>
      <c r="K224" s="4"/>
      <c r="L224" s="4"/>
      <c r="M224" s="2" t="s">
        <v>648</v>
      </c>
      <c r="N224" s="2">
        <v>41</v>
      </c>
      <c r="O224" s="4"/>
      <c r="P224" s="4"/>
      <c r="Q224" s="4"/>
      <c r="R224" s="4"/>
      <c r="U224" s="2" t="s">
        <v>619</v>
      </c>
      <c r="V224" s="2">
        <v>101</v>
      </c>
      <c r="W224" s="4"/>
      <c r="X224" s="4"/>
      <c r="Y224" s="4"/>
      <c r="Z224" s="4"/>
    </row>
    <row r="225" spans="1:28" x14ac:dyDescent="0.2">
      <c r="A225" s="2">
        <v>108133</v>
      </c>
      <c r="C225" s="2" t="s">
        <v>389</v>
      </c>
      <c r="D225" s="2" t="s">
        <v>77</v>
      </c>
      <c r="E225" s="2" t="s">
        <v>27</v>
      </c>
      <c r="F225" s="2">
        <v>225</v>
      </c>
      <c r="G225" s="2" t="str">
        <f>IFERROR(VLOOKUP(F225,Picks!$A$2:$B$231,2,0),"")</f>
        <v>Fernando</v>
      </c>
      <c r="H225" s="2">
        <v>21</v>
      </c>
      <c r="I225" s="4">
        <v>0.55263157894736847</v>
      </c>
      <c r="J225" s="4">
        <v>3.06</v>
      </c>
      <c r="K225" s="4">
        <v>1.691052631578948</v>
      </c>
      <c r="L225" s="4">
        <v>1.2467166551416891</v>
      </c>
      <c r="O225" s="4">
        <v>-1.884790303099638</v>
      </c>
      <c r="P225" s="4">
        <v>-2.1769614443096121</v>
      </c>
      <c r="Q225" s="4">
        <v>-2.0065298774849181</v>
      </c>
      <c r="R225" s="4">
        <v>-2.4326087945466521</v>
      </c>
      <c r="S225" s="2">
        <v>-2.6113333333333331</v>
      </c>
      <c r="T225" s="2">
        <v>-2.6678798790757079</v>
      </c>
      <c r="W225" s="4">
        <v>-1.411910300731257</v>
      </c>
      <c r="X225" s="4">
        <v>-1.6307778549479559</v>
      </c>
      <c r="Y225" s="4">
        <v>-1.664045244921188</v>
      </c>
      <c r="Z225" s="4">
        <v>-1.580876769988107</v>
      </c>
      <c r="AA225" s="2">
        <v>-1.840550000000001</v>
      </c>
      <c r="AB225" s="2">
        <v>-1.7106442758925029</v>
      </c>
    </row>
    <row r="226" spans="1:28" x14ac:dyDescent="0.2">
      <c r="A226" s="2">
        <v>94067</v>
      </c>
      <c r="C226" s="2" t="s">
        <v>226</v>
      </c>
      <c r="D226" s="2" t="s">
        <v>77</v>
      </c>
      <c r="E226" s="2" t="s">
        <v>29</v>
      </c>
      <c r="F226" s="2">
        <v>226</v>
      </c>
      <c r="G226" s="2" t="str">
        <f>IFERROR(VLOOKUP(F226,Picks!$A$2:$B$231,2,0),"")</f>
        <v>Rodolfo</v>
      </c>
      <c r="H226" s="2">
        <v>18</v>
      </c>
      <c r="I226" s="4">
        <v>0.47368421052631582</v>
      </c>
      <c r="J226" s="4">
        <v>2.16</v>
      </c>
      <c r="K226" s="4">
        <v>1.023157894736842</v>
      </c>
      <c r="L226" s="4">
        <v>0.52197928649844727</v>
      </c>
      <c r="M226" s="2" t="s">
        <v>657</v>
      </c>
      <c r="N226" s="2">
        <v>78</v>
      </c>
      <c r="O226" s="4">
        <v>-1.857641689757894</v>
      </c>
      <c r="P226" s="4">
        <v>-2.205949506587499</v>
      </c>
      <c r="Q226" s="4">
        <v>-2.1828480887557231</v>
      </c>
      <c r="R226" s="4">
        <v>-2.240601633335165</v>
      </c>
      <c r="S226" s="2">
        <v>-2.7173333333333329</v>
      </c>
      <c r="T226" s="2">
        <v>-2.5744623103510409</v>
      </c>
      <c r="U226" s="2" t="s">
        <v>657</v>
      </c>
      <c r="V226" s="2">
        <v>244</v>
      </c>
      <c r="W226" s="4">
        <v>-1.9923238988467129</v>
      </c>
      <c r="X226" s="4">
        <v>-2.3658846298804721</v>
      </c>
      <c r="Y226" s="4">
        <v>-2.4777371959298908</v>
      </c>
      <c r="Z226" s="4">
        <v>-2.1981057808063418</v>
      </c>
      <c r="AA226" s="2">
        <v>-2.7405500000000012</v>
      </c>
      <c r="AB226" s="2">
        <v>-2.3785390127346089</v>
      </c>
    </row>
    <row r="227" spans="1:28" x14ac:dyDescent="0.2">
      <c r="A227" s="2">
        <v>115025</v>
      </c>
      <c r="C227" s="2" t="s">
        <v>448</v>
      </c>
      <c r="D227" s="2" t="s">
        <v>50</v>
      </c>
      <c r="E227" s="2" t="s">
        <v>29</v>
      </c>
      <c r="F227" s="2">
        <v>227</v>
      </c>
      <c r="G227" s="2" t="str">
        <f>IFERROR(VLOOKUP(F227,Picks!$A$2:$B$231,2,0),"")</f>
        <v>Petindá</v>
      </c>
      <c r="I227" s="4"/>
      <c r="J227" s="4"/>
      <c r="K227" s="4"/>
      <c r="L227" s="4"/>
      <c r="O227" s="4"/>
      <c r="P227" s="4"/>
      <c r="Q227" s="4"/>
      <c r="R227" s="4"/>
      <c r="W227" s="4"/>
      <c r="X227" s="4"/>
      <c r="Y227" s="4"/>
      <c r="Z227" s="4"/>
    </row>
    <row r="228" spans="1:28" x14ac:dyDescent="0.2">
      <c r="A228" s="2">
        <v>98225</v>
      </c>
      <c r="C228" s="2" t="s">
        <v>267</v>
      </c>
      <c r="D228" s="2" t="s">
        <v>99</v>
      </c>
      <c r="E228" s="2" t="s">
        <v>27</v>
      </c>
      <c r="F228" s="2">
        <v>228</v>
      </c>
      <c r="G228" s="2" t="str">
        <f>IFERROR(VLOOKUP(F228,Picks!$A$2:$B$231,2,0),"")</f>
        <v>Fochesato</v>
      </c>
      <c r="H228" s="2">
        <v>31</v>
      </c>
      <c r="I228" s="4">
        <v>0.81578947368421051</v>
      </c>
      <c r="J228" s="4">
        <v>3.93</v>
      </c>
      <c r="K228" s="4">
        <v>3.206052631578947</v>
      </c>
      <c r="L228" s="4">
        <v>1.726828323761211</v>
      </c>
      <c r="O228" s="4">
        <v>-1.1556979150728639</v>
      </c>
      <c r="P228" s="4">
        <v>-1.2233014142832539</v>
      </c>
      <c r="Q228" s="4">
        <v>-1.338028092925863</v>
      </c>
      <c r="R228" s="4">
        <v>-1.051211396319341</v>
      </c>
      <c r="S228" s="2">
        <v>-1.741333333333333</v>
      </c>
      <c r="T228" s="2">
        <v>-1.152879879075708</v>
      </c>
      <c r="W228" s="4">
        <v>-0.56571502087805992</v>
      </c>
      <c r="X228" s="4">
        <v>-0.59880698588764003</v>
      </c>
      <c r="Y228" s="4">
        <v>-0.87747635894610831</v>
      </c>
      <c r="Z228" s="4">
        <v>-0.18080292629993769</v>
      </c>
      <c r="AA228" s="2">
        <v>-0.97055000000000069</v>
      </c>
      <c r="AB228" s="2">
        <v>-0.19564427589250319</v>
      </c>
    </row>
    <row r="229" spans="1:28" x14ac:dyDescent="0.2">
      <c r="A229" s="2">
        <v>116034</v>
      </c>
      <c r="C229" s="2" t="s">
        <v>667</v>
      </c>
      <c r="D229" s="2" t="s">
        <v>26</v>
      </c>
      <c r="E229" s="2" t="s">
        <v>29</v>
      </c>
      <c r="F229" s="2">
        <v>229</v>
      </c>
      <c r="G229" s="2" t="str">
        <f>IFERROR(VLOOKUP(F229,Picks!$A$2:$B$231,2,0),"")</f>
        <v>Anuda</v>
      </c>
      <c r="M229" s="2" t="s">
        <v>621</v>
      </c>
      <c r="N229" s="2">
        <v>62</v>
      </c>
      <c r="U229" s="2" t="s">
        <v>655</v>
      </c>
      <c r="V229" s="2">
        <v>217</v>
      </c>
    </row>
    <row r="230" spans="1:28" x14ac:dyDescent="0.2">
      <c r="A230" s="2">
        <v>111832</v>
      </c>
      <c r="C230" s="2" t="s">
        <v>427</v>
      </c>
      <c r="D230" s="2" t="s">
        <v>65</v>
      </c>
      <c r="E230" s="2" t="s">
        <v>37</v>
      </c>
      <c r="F230" s="2">
        <v>230</v>
      </c>
      <c r="G230" s="2" t="str">
        <f>IFERROR(VLOOKUP(F230,Picks!$A$2:$B$231,2,0),"")</f>
        <v>Sousa</v>
      </c>
      <c r="H230" s="2">
        <v>7</v>
      </c>
      <c r="I230" s="4">
        <v>0.3888888888888889</v>
      </c>
      <c r="J230" s="4">
        <v>4.1399999999999997</v>
      </c>
      <c r="K230" s="4">
        <v>1.61</v>
      </c>
      <c r="L230" s="4">
        <v>0.94072858011113314</v>
      </c>
      <c r="O230" s="4">
        <v>-2.327808771637343</v>
      </c>
      <c r="P230" s="4">
        <v>-2.850378087719196</v>
      </c>
      <c r="Q230" s="4">
        <v>-2.4704084966685111</v>
      </c>
      <c r="R230" s="4">
        <v>-3.4203324742952228</v>
      </c>
      <c r="S230" s="2">
        <v>-2.1975000000000011</v>
      </c>
      <c r="T230" s="2">
        <v>-3.1155931174089071</v>
      </c>
      <c r="W230" s="4">
        <v>-0.87781971127776004</v>
      </c>
      <c r="X230" s="4">
        <v>-1.074881279115625</v>
      </c>
      <c r="Y230" s="4">
        <v>-0.68761490371074463</v>
      </c>
      <c r="Z230" s="4">
        <v>-1.655780842222945</v>
      </c>
      <c r="AA230" s="2">
        <v>-0.76055000000000117</v>
      </c>
      <c r="AB230" s="2">
        <v>-1.7916969074714511</v>
      </c>
    </row>
    <row r="231" spans="1:28" x14ac:dyDescent="0.2">
      <c r="A231" s="2">
        <v>63013</v>
      </c>
      <c r="C231" s="2" t="s">
        <v>54</v>
      </c>
      <c r="D231" s="2" t="s">
        <v>31</v>
      </c>
      <c r="E231" s="2" t="s">
        <v>37</v>
      </c>
      <c r="G231" s="2" t="str">
        <f>IFERROR(VLOOKUP(F231,Picks!$A$2:$B$231,2,0),"")</f>
        <v/>
      </c>
      <c r="I231" s="4"/>
      <c r="J231" s="4"/>
      <c r="K231" s="4"/>
      <c r="L231" s="4"/>
      <c r="M231" s="2" t="s">
        <v>649</v>
      </c>
      <c r="N231" s="2">
        <v>14</v>
      </c>
      <c r="O231" s="4"/>
      <c r="P231" s="4"/>
      <c r="Q231" s="4"/>
      <c r="R231" s="4"/>
      <c r="U231" s="2" t="s">
        <v>649</v>
      </c>
      <c r="V231" s="2">
        <v>65</v>
      </c>
      <c r="W231" s="4"/>
      <c r="X231" s="4"/>
      <c r="Y231" s="4"/>
      <c r="Z231" s="4"/>
    </row>
    <row r="232" spans="1:28" x14ac:dyDescent="0.2">
      <c r="A232" s="2">
        <v>118774</v>
      </c>
      <c r="C232" s="2" t="s">
        <v>476</v>
      </c>
      <c r="D232" s="2" t="s">
        <v>26</v>
      </c>
      <c r="E232" s="2" t="s">
        <v>29</v>
      </c>
      <c r="G232" s="2" t="str">
        <f>IFERROR(VLOOKUP(F232,Picks!$A$2:$B$231,2,0),"")</f>
        <v/>
      </c>
      <c r="H232" s="2">
        <v>10</v>
      </c>
      <c r="I232" s="4">
        <v>0.47619047619047622</v>
      </c>
      <c r="J232" s="4">
        <v>5.18</v>
      </c>
      <c r="K232" s="4">
        <v>2.4666666666666659</v>
      </c>
      <c r="L232" s="4">
        <v>0.80160761093240762</v>
      </c>
      <c r="M232" s="2" t="s">
        <v>647</v>
      </c>
      <c r="N232" s="2">
        <v>13</v>
      </c>
      <c r="O232" s="4">
        <v>-0.20888999643054809</v>
      </c>
      <c r="P232" s="4">
        <v>-0.24783558898539601</v>
      </c>
      <c r="Q232" s="4">
        <v>0.24313371744236911</v>
      </c>
      <c r="R232" s="4">
        <v>-0.98428954862704365</v>
      </c>
      <c r="S232" s="2">
        <v>0.3026666666666662</v>
      </c>
      <c r="T232" s="2">
        <v>-1.130953538421217</v>
      </c>
      <c r="U232" s="2" t="s">
        <v>649</v>
      </c>
      <c r="V232" s="2">
        <v>83</v>
      </c>
      <c r="W232" s="4">
        <v>-0.16355571946810171</v>
      </c>
      <c r="X232" s="4">
        <v>-0.19404915869096809</v>
      </c>
      <c r="Y232" s="4">
        <v>0.25265135078820128</v>
      </c>
      <c r="Z232" s="4">
        <v>-0.86409992290972237</v>
      </c>
      <c r="AA232" s="2">
        <v>0.27944999999999892</v>
      </c>
      <c r="AB232" s="2">
        <v>-0.93503024080478436</v>
      </c>
    </row>
    <row r="233" spans="1:28" x14ac:dyDescent="0.2">
      <c r="A233" s="2">
        <v>106202</v>
      </c>
      <c r="C233" s="2" t="s">
        <v>367</v>
      </c>
      <c r="D233" s="2" t="s">
        <v>58</v>
      </c>
      <c r="E233" s="2" t="s">
        <v>37</v>
      </c>
      <c r="G233" s="2" t="str">
        <f>IFERROR(VLOOKUP(F233,Picks!$A$2:$B$231,2,0),"")</f>
        <v/>
      </c>
      <c r="H233" s="2">
        <v>13</v>
      </c>
      <c r="I233" s="4">
        <v>0.34210526315789469</v>
      </c>
      <c r="J233" s="4">
        <v>5.0599999999999996</v>
      </c>
      <c r="K233" s="4">
        <v>1.731052631578947</v>
      </c>
      <c r="L233" s="4">
        <v>2.3942221970561222</v>
      </c>
      <c r="M233" s="2" t="s">
        <v>619</v>
      </c>
      <c r="N233" s="2">
        <v>20</v>
      </c>
      <c r="O233" s="4">
        <v>-1.747062311722112</v>
      </c>
      <c r="P233" s="4">
        <v>-2.176667798211156</v>
      </c>
      <c r="Q233" s="4">
        <v>-1.4361532898721381</v>
      </c>
      <c r="R233" s="4">
        <v>-3.2874395607196831</v>
      </c>
      <c r="S233" s="2">
        <v>-1.277500000000001</v>
      </c>
      <c r="T233" s="2">
        <v>-2.9945404858299591</v>
      </c>
      <c r="U233" s="2" t="s">
        <v>619</v>
      </c>
      <c r="V233" s="2">
        <v>96</v>
      </c>
      <c r="W233" s="4">
        <v>-0.42625274613760039</v>
      </c>
      <c r="X233" s="4">
        <v>-0.53106899518783002</v>
      </c>
      <c r="Y233" s="4">
        <v>0.14415909065370749</v>
      </c>
      <c r="Z233" s="4">
        <v>-1.543911123950136</v>
      </c>
      <c r="AA233" s="2">
        <v>0.15944999999999879</v>
      </c>
      <c r="AB233" s="2">
        <v>-1.670644275892504</v>
      </c>
    </row>
    <row r="234" spans="1:28" x14ac:dyDescent="0.2">
      <c r="A234" s="2">
        <v>104783</v>
      </c>
      <c r="C234" s="2" t="s">
        <v>342</v>
      </c>
      <c r="D234" s="2" t="s">
        <v>45</v>
      </c>
      <c r="E234" s="2" t="s">
        <v>29</v>
      </c>
      <c r="F234" s="11"/>
      <c r="G234" s="2" t="str">
        <f>IFERROR(VLOOKUP(F234,Picks!$A$2:$B$231,2,0),"")</f>
        <v/>
      </c>
      <c r="H234" s="2">
        <v>30</v>
      </c>
      <c r="I234" s="4">
        <v>0.78947368421052633</v>
      </c>
      <c r="J234" s="4">
        <v>3.87</v>
      </c>
      <c r="K234" s="4">
        <v>3.0552631578947369</v>
      </c>
      <c r="L234" s="4">
        <v>0.98740003005147892</v>
      </c>
      <c r="M234" s="2" t="s">
        <v>649</v>
      </c>
      <c r="N234" s="2">
        <v>21</v>
      </c>
      <c r="O234" s="4">
        <v>-0.63173791347556718</v>
      </c>
      <c r="P234" s="4">
        <v>-0.67432698629414467</v>
      </c>
      <c r="Q234" s="4">
        <v>-0.80919613888859099</v>
      </c>
      <c r="R234" s="4">
        <v>-0.47202325740247519</v>
      </c>
      <c r="S234" s="2">
        <v>-1.007333333333333</v>
      </c>
      <c r="T234" s="2">
        <v>-0.54235704719314626</v>
      </c>
      <c r="U234" s="2" t="s">
        <v>619</v>
      </c>
      <c r="V234" s="2">
        <v>98</v>
      </c>
      <c r="W234" s="4">
        <v>-0.64369949543055383</v>
      </c>
      <c r="X234" s="4">
        <v>-0.68709496703261363</v>
      </c>
      <c r="Y234" s="4">
        <v>-0.93172248901335519</v>
      </c>
      <c r="Z234" s="4">
        <v>-0.32015368406150141</v>
      </c>
      <c r="AA234" s="2">
        <v>-1.030550000000001</v>
      </c>
      <c r="AB234" s="2">
        <v>-0.3464337495767138</v>
      </c>
    </row>
    <row r="235" spans="1:28" x14ac:dyDescent="0.2">
      <c r="A235" s="2">
        <v>123648</v>
      </c>
      <c r="C235" s="2" t="s">
        <v>504</v>
      </c>
      <c r="D235" s="2" t="s">
        <v>39</v>
      </c>
      <c r="E235" s="2" t="s">
        <v>27</v>
      </c>
      <c r="F235" s="11"/>
      <c r="G235" s="2" t="str">
        <f>IFERROR(VLOOKUP(F235,Picks!$A$2:$B$231,2,0),"")</f>
        <v/>
      </c>
      <c r="I235" s="4"/>
      <c r="J235" s="4"/>
      <c r="K235" s="4"/>
      <c r="L235" s="4"/>
      <c r="M235" s="2" t="s">
        <v>648</v>
      </c>
      <c r="N235" s="2">
        <v>40</v>
      </c>
      <c r="O235" s="4"/>
      <c r="P235" s="4"/>
      <c r="Q235" s="4"/>
      <c r="R235" s="4"/>
      <c r="U235" s="2" t="s">
        <v>619</v>
      </c>
      <c r="V235" s="2">
        <v>100</v>
      </c>
      <c r="W235" s="4"/>
      <c r="X235" s="4"/>
      <c r="Y235" s="4"/>
      <c r="Z235" s="4"/>
    </row>
    <row r="236" spans="1:28" x14ac:dyDescent="0.2">
      <c r="A236" s="2">
        <v>106302</v>
      </c>
      <c r="C236" s="2" t="s">
        <v>651</v>
      </c>
      <c r="D236" s="2" t="s">
        <v>26</v>
      </c>
      <c r="E236" s="2" t="s">
        <v>37</v>
      </c>
      <c r="F236" s="11"/>
      <c r="G236" s="2" t="str">
        <f>IFERROR(VLOOKUP(F236,Picks!$A$2:$B$231,2,0),"")</f>
        <v/>
      </c>
      <c r="M236" s="2" t="s">
        <v>619</v>
      </c>
      <c r="N236" s="2">
        <v>22</v>
      </c>
      <c r="U236" s="2" t="s">
        <v>619</v>
      </c>
      <c r="V236" s="2">
        <v>104</v>
      </c>
    </row>
    <row r="237" spans="1:28" x14ac:dyDescent="0.2">
      <c r="A237" s="2">
        <v>98909</v>
      </c>
      <c r="C237" s="2" t="s">
        <v>275</v>
      </c>
      <c r="D237" s="2" t="s">
        <v>26</v>
      </c>
      <c r="E237" s="2" t="s">
        <v>27</v>
      </c>
      <c r="G237" s="2" t="str">
        <f>IFERROR(VLOOKUP(F237,Picks!$A$2:$B$231,2,0),"")</f>
        <v/>
      </c>
      <c r="H237" s="2">
        <v>16</v>
      </c>
      <c r="I237" s="4">
        <v>0.42105263157894729</v>
      </c>
      <c r="J237" s="4">
        <v>4.2300000000000004</v>
      </c>
      <c r="K237" s="4">
        <v>1.781052631578947</v>
      </c>
      <c r="L237" s="4">
        <v>0.75651236147092893</v>
      </c>
      <c r="M237" s="2" t="s">
        <v>653</v>
      </c>
      <c r="N237" s="2">
        <v>44</v>
      </c>
      <c r="O237" s="4">
        <v>-1.326009088664678</v>
      </c>
      <c r="P237" s="4">
        <v>-1.604724374817126</v>
      </c>
      <c r="Q237" s="4">
        <v>-1.1075102361813609</v>
      </c>
      <c r="R237" s="4">
        <v>-2.350545582770772</v>
      </c>
      <c r="S237" s="2">
        <v>-1.4413333333333329</v>
      </c>
      <c r="T237" s="2">
        <v>-2.577879879075708</v>
      </c>
      <c r="U237" s="2" t="s">
        <v>648</v>
      </c>
      <c r="V237" s="2">
        <v>121</v>
      </c>
      <c r="W237" s="4">
        <v>-0.79560084800598885</v>
      </c>
      <c r="X237" s="4">
        <v>-0.96282905172699285</v>
      </c>
      <c r="Y237" s="4">
        <v>-0.6062457086098737</v>
      </c>
      <c r="Z237" s="4">
        <v>-1.497704066402672</v>
      </c>
      <c r="AA237" s="2">
        <v>-0.67055000000000042</v>
      </c>
      <c r="AB237" s="2">
        <v>-1.620644275892503</v>
      </c>
    </row>
    <row r="238" spans="1:28" x14ac:dyDescent="0.2">
      <c r="A238" s="2">
        <v>78435</v>
      </c>
      <c r="C238" s="2" t="s">
        <v>105</v>
      </c>
      <c r="D238" s="2" t="s">
        <v>99</v>
      </c>
      <c r="E238" s="2" t="s">
        <v>27</v>
      </c>
      <c r="G238" s="2" t="str">
        <f>IFERROR(VLOOKUP(F238,Picks!$A$2:$B$231,2,0),"")</f>
        <v/>
      </c>
      <c r="H238" s="2">
        <v>12</v>
      </c>
      <c r="I238" s="4">
        <v>0.6</v>
      </c>
      <c r="J238" s="4">
        <v>3.88</v>
      </c>
      <c r="K238" s="4">
        <v>2.3279999999999998</v>
      </c>
      <c r="L238" s="4">
        <v>0.93327084690576845</v>
      </c>
      <c r="M238" s="2" t="s">
        <v>653</v>
      </c>
      <c r="N238" s="2">
        <v>45</v>
      </c>
      <c r="O238" s="4">
        <v>-1.3786091304914729</v>
      </c>
      <c r="P238" s="4">
        <v>-1.5666012846494011</v>
      </c>
      <c r="Q238" s="4">
        <v>-1.3764477357166141</v>
      </c>
      <c r="R238" s="4">
        <v>-1.851831608048583</v>
      </c>
      <c r="S238" s="2">
        <v>-1.791333333333333</v>
      </c>
      <c r="T238" s="2">
        <v>-2.0309325106546559</v>
      </c>
      <c r="U238" s="2" t="s">
        <v>648</v>
      </c>
      <c r="V238" s="2">
        <v>122</v>
      </c>
      <c r="W238" s="4">
        <v>-0.83644693328929143</v>
      </c>
      <c r="X238" s="4">
        <v>-0.95050787873783116</v>
      </c>
      <c r="Y238" s="4">
        <v>-0.92268146733548095</v>
      </c>
      <c r="Z238" s="4">
        <v>-0.99224749584135663</v>
      </c>
      <c r="AA238" s="2">
        <v>-1.020550000000001</v>
      </c>
      <c r="AB238" s="2">
        <v>-1.0736969074714511</v>
      </c>
    </row>
    <row r="239" spans="1:28" x14ac:dyDescent="0.2">
      <c r="A239" s="2">
        <v>78946</v>
      </c>
      <c r="C239" s="2" t="s">
        <v>111</v>
      </c>
      <c r="D239" s="2" t="s">
        <v>52</v>
      </c>
      <c r="E239" s="2" t="s">
        <v>53</v>
      </c>
      <c r="F239" s="11"/>
      <c r="G239" s="2" t="str">
        <f>IFERROR(VLOOKUP(F239,Picks!$A$2:$B$231,2,0),"")</f>
        <v/>
      </c>
      <c r="I239" s="4"/>
      <c r="J239" s="4"/>
      <c r="K239" s="4"/>
      <c r="L239" s="4"/>
      <c r="M239" s="2" t="s">
        <v>619</v>
      </c>
      <c r="N239" s="2">
        <v>18</v>
      </c>
      <c r="O239" s="4"/>
      <c r="P239" s="4"/>
      <c r="Q239" s="4"/>
      <c r="R239" s="4"/>
      <c r="U239" s="2" t="s">
        <v>653</v>
      </c>
      <c r="V239" s="2">
        <v>129</v>
      </c>
      <c r="W239" s="4"/>
      <c r="X239" s="4"/>
      <c r="Y239" s="4"/>
      <c r="Z239" s="4"/>
    </row>
    <row r="240" spans="1:28" x14ac:dyDescent="0.2">
      <c r="A240" s="2">
        <v>114405</v>
      </c>
      <c r="C240" s="2" t="s">
        <v>446</v>
      </c>
      <c r="D240" s="2" t="s">
        <v>35</v>
      </c>
      <c r="E240" s="2" t="s">
        <v>27</v>
      </c>
      <c r="G240" s="2" t="str">
        <f>IFERROR(VLOOKUP(F240,Picks!$A$2:$B$231,2,0),"")</f>
        <v/>
      </c>
      <c r="H240" s="2">
        <v>11</v>
      </c>
      <c r="I240" s="4">
        <v>0.61111111111111116</v>
      </c>
      <c r="J240" s="4">
        <v>3.87</v>
      </c>
      <c r="K240" s="4">
        <v>2.3650000000000002</v>
      </c>
      <c r="L240" s="4">
        <v>1.498553114810582</v>
      </c>
      <c r="M240" s="2" t="s">
        <v>621</v>
      </c>
      <c r="N240" s="2">
        <v>48</v>
      </c>
      <c r="O240" s="4">
        <v>-1.3759831755544569</v>
      </c>
      <c r="P240" s="4">
        <v>-1.5577168025144801</v>
      </c>
      <c r="Q240" s="4">
        <v>-1.384131664274763</v>
      </c>
      <c r="R240" s="4">
        <v>-1.818094509874054</v>
      </c>
      <c r="S240" s="2">
        <v>-1.801333333333333</v>
      </c>
      <c r="T240" s="2">
        <v>-1.993932510654655</v>
      </c>
      <c r="U240" s="2" t="s">
        <v>653</v>
      </c>
      <c r="V240" s="2">
        <v>131</v>
      </c>
      <c r="W240" s="4">
        <v>-0.83232542906094709</v>
      </c>
      <c r="X240" s="4">
        <v>-0.94225520271050622</v>
      </c>
      <c r="Y240" s="4">
        <v>-0.93172248901335519</v>
      </c>
      <c r="Z240" s="4">
        <v>-0.95805427325623271</v>
      </c>
      <c r="AA240" s="2">
        <v>-1.030550000000001</v>
      </c>
      <c r="AB240" s="2">
        <v>-1.03669690747145</v>
      </c>
    </row>
    <row r="241" spans="1:28" x14ac:dyDescent="0.2">
      <c r="A241" s="2">
        <v>87742</v>
      </c>
      <c r="C241" s="2" t="s">
        <v>169</v>
      </c>
      <c r="D241" s="2" t="s">
        <v>41</v>
      </c>
      <c r="E241" s="2" t="s">
        <v>29</v>
      </c>
      <c r="G241" s="2" t="str">
        <f>IFERROR(VLOOKUP(F241,Picks!$A$2:$B$231,2,0),"")</f>
        <v/>
      </c>
      <c r="H241" s="2">
        <v>31</v>
      </c>
      <c r="I241" s="4">
        <v>0.81578947368421051</v>
      </c>
      <c r="J241" s="4">
        <v>3.33</v>
      </c>
      <c r="K241" s="4">
        <v>2.7165789473684212</v>
      </c>
      <c r="L241" s="4">
        <v>1.005769027722867</v>
      </c>
      <c r="M241" s="2" t="s">
        <v>619</v>
      </c>
      <c r="N241" s="2">
        <v>31</v>
      </c>
      <c r="O241" s="4">
        <v>-0.99433846172711415</v>
      </c>
      <c r="P241" s="4">
        <v>-1.0525031071206219</v>
      </c>
      <c r="Q241" s="4">
        <v>-1.242980965162422</v>
      </c>
      <c r="R241" s="4">
        <v>-0.76678632005792335</v>
      </c>
      <c r="S241" s="2">
        <v>-1.547333333333333</v>
      </c>
      <c r="T241" s="2">
        <v>-0.88104125771946196</v>
      </c>
      <c r="U241" s="2" t="s">
        <v>653</v>
      </c>
      <c r="V241" s="2">
        <v>137</v>
      </c>
      <c r="W241" s="4">
        <v>-1.044142880074999</v>
      </c>
      <c r="X241" s="4">
        <v>-1.105220875845403</v>
      </c>
      <c r="Y241" s="4">
        <v>-1.4199376596185771</v>
      </c>
      <c r="Z241" s="4">
        <v>-0.63314570018564131</v>
      </c>
      <c r="AA241" s="2">
        <v>-1.570550000000001</v>
      </c>
      <c r="AB241" s="2">
        <v>-0.6851179601030295</v>
      </c>
    </row>
    <row r="242" spans="1:28" x14ac:dyDescent="0.2">
      <c r="A242" s="2">
        <v>115986</v>
      </c>
      <c r="C242" s="2" t="s">
        <v>459</v>
      </c>
      <c r="D242" s="2" t="s">
        <v>41</v>
      </c>
      <c r="E242" s="2" t="s">
        <v>29</v>
      </c>
      <c r="F242" s="11"/>
      <c r="G242" s="2" t="str">
        <f>IFERROR(VLOOKUP(F242,Picks!$A$2:$B$231,2,0),"")</f>
        <v/>
      </c>
      <c r="I242" s="4"/>
      <c r="J242" s="4"/>
      <c r="K242" s="4"/>
      <c r="L242" s="4"/>
      <c r="M242" s="2" t="s">
        <v>619</v>
      </c>
      <c r="N242" s="2">
        <v>39</v>
      </c>
      <c r="O242" s="4"/>
      <c r="P242" s="4"/>
      <c r="Q242" s="4"/>
      <c r="R242" s="4"/>
      <c r="U242" s="2" t="s">
        <v>653</v>
      </c>
      <c r="V242" s="2">
        <v>138</v>
      </c>
      <c r="W242" s="4"/>
      <c r="X242" s="4"/>
      <c r="Y242" s="4"/>
      <c r="Z242" s="4"/>
    </row>
    <row r="243" spans="1:28" x14ac:dyDescent="0.2">
      <c r="A243" s="2">
        <v>142484</v>
      </c>
      <c r="C243" s="2" t="s">
        <v>589</v>
      </c>
      <c r="D243" s="2" t="s">
        <v>61</v>
      </c>
      <c r="E243" s="2" t="s">
        <v>29</v>
      </c>
      <c r="G243" s="2" t="str">
        <f>IFERROR(VLOOKUP(F243,Picks!$A$2:$B$231,2,0),"")</f>
        <v/>
      </c>
      <c r="I243" s="4"/>
      <c r="J243" s="4"/>
      <c r="K243" s="4"/>
      <c r="L243" s="4"/>
      <c r="M243" s="2" t="s">
        <v>619</v>
      </c>
      <c r="N243" s="2">
        <v>41</v>
      </c>
      <c r="O243" s="4"/>
      <c r="P243" s="4"/>
      <c r="Q243" s="4"/>
      <c r="R243" s="4"/>
      <c r="U243" s="2" t="s">
        <v>653</v>
      </c>
      <c r="V243" s="2">
        <v>144</v>
      </c>
      <c r="W243" s="4"/>
      <c r="X243" s="4"/>
      <c r="Y243" s="4"/>
      <c r="Z243" s="4"/>
    </row>
    <row r="244" spans="1:28" x14ac:dyDescent="0.2">
      <c r="A244" s="2">
        <v>84674</v>
      </c>
      <c r="C244" s="2" t="s">
        <v>145</v>
      </c>
      <c r="D244" s="2" t="s">
        <v>65</v>
      </c>
      <c r="E244" s="2" t="s">
        <v>29</v>
      </c>
      <c r="G244" s="2" t="str">
        <f>IFERROR(VLOOKUP(F244,Picks!$A$2:$B$231,2,0),"")</f>
        <v/>
      </c>
      <c r="H244" s="2">
        <v>19</v>
      </c>
      <c r="I244" s="4">
        <v>0.5</v>
      </c>
      <c r="J244" s="4">
        <v>3.36</v>
      </c>
      <c r="K244" s="4">
        <v>1.68</v>
      </c>
      <c r="L244" s="4">
        <v>0.75149845567123075</v>
      </c>
      <c r="M244" s="2" t="s">
        <v>619</v>
      </c>
      <c r="N244" s="2">
        <v>35</v>
      </c>
      <c r="O244" s="4">
        <v>-1.189069300416834</v>
      </c>
      <c r="P244" s="4">
        <v>-1.3989050593139221</v>
      </c>
      <c r="Q244" s="4">
        <v>-1.218881808147209</v>
      </c>
      <c r="R244" s="4">
        <v>-1.668939936063992</v>
      </c>
      <c r="S244" s="2">
        <v>-1.5173333333333341</v>
      </c>
      <c r="T244" s="2">
        <v>-1.917620205087883</v>
      </c>
      <c r="U244" s="2" t="s">
        <v>653</v>
      </c>
      <c r="V244" s="2">
        <v>145</v>
      </c>
      <c r="W244" s="4">
        <v>-1.251306370201535</v>
      </c>
      <c r="X244" s="4">
        <v>-1.4721251414135701</v>
      </c>
      <c r="Y244" s="4">
        <v>-1.3928145945849539</v>
      </c>
      <c r="Z244" s="4">
        <v>-1.591090961656495</v>
      </c>
      <c r="AA244" s="2">
        <v>-1.540550000000001</v>
      </c>
      <c r="AB244" s="2">
        <v>-1.721696907471451</v>
      </c>
    </row>
    <row r="245" spans="1:28" x14ac:dyDescent="0.2">
      <c r="A245" s="2">
        <v>86292</v>
      </c>
      <c r="C245" s="2" t="s">
        <v>156</v>
      </c>
      <c r="D245" s="2" t="s">
        <v>63</v>
      </c>
      <c r="E245" s="2" t="s">
        <v>27</v>
      </c>
      <c r="G245" s="2" t="str">
        <f>IFERROR(VLOOKUP(F245,Picks!$A$2:$B$231,2,0),"")</f>
        <v/>
      </c>
      <c r="H245" s="2">
        <v>18</v>
      </c>
      <c r="I245" s="4">
        <v>0.47368421052631582</v>
      </c>
      <c r="J245" s="4">
        <v>0.51</v>
      </c>
      <c r="K245" s="4">
        <v>0.241578947368421</v>
      </c>
      <c r="L245" s="4">
        <v>0.38355166231831239</v>
      </c>
      <c r="M245" s="2" t="s">
        <v>653</v>
      </c>
      <c r="N245" s="2">
        <v>46</v>
      </c>
      <c r="O245" s="4">
        <v>-3.2684314629049331</v>
      </c>
      <c r="P245" s="4">
        <v>-3.8812623621996081</v>
      </c>
      <c r="Q245" s="4">
        <v>-3.9659316598131831</v>
      </c>
      <c r="R245" s="4">
        <v>-3.754258415779244</v>
      </c>
      <c r="S245" s="2">
        <v>-5.1613333333333333</v>
      </c>
      <c r="T245" s="2">
        <v>-4.117353563286235</v>
      </c>
      <c r="U245" s="2" t="s">
        <v>653</v>
      </c>
      <c r="V245" s="2">
        <v>146</v>
      </c>
      <c r="W245" s="4">
        <v>-2.9893570384686812</v>
      </c>
      <c r="X245" s="4">
        <v>-3.5498614831815591</v>
      </c>
      <c r="Y245" s="4">
        <v>-3.9695057727791809</v>
      </c>
      <c r="Z245" s="4">
        <v>-2.9203950487851271</v>
      </c>
      <c r="AA245" s="2">
        <v>-4.3905500000000011</v>
      </c>
      <c r="AB245" s="2">
        <v>-3.16011796010303</v>
      </c>
    </row>
    <row r="246" spans="1:28" x14ac:dyDescent="0.2">
      <c r="A246" s="2">
        <v>102975</v>
      </c>
      <c r="C246" s="2" t="s">
        <v>321</v>
      </c>
      <c r="D246" s="2" t="s">
        <v>50</v>
      </c>
      <c r="E246" s="2" t="s">
        <v>37</v>
      </c>
      <c r="G246" s="2" t="str">
        <f>IFERROR(VLOOKUP(F246,Picks!$A$2:$B$231,2,0),"")</f>
        <v/>
      </c>
      <c r="H246" s="2">
        <v>29</v>
      </c>
      <c r="I246" s="4">
        <v>0.76315789473684215</v>
      </c>
      <c r="J246" s="4">
        <v>4.43</v>
      </c>
      <c r="K246" s="4">
        <v>3.380789473684211</v>
      </c>
      <c r="L246" s="4">
        <v>1.9338933231930751</v>
      </c>
      <c r="M246" s="2" t="s">
        <v>621</v>
      </c>
      <c r="N246" s="2">
        <v>36</v>
      </c>
      <c r="O246" s="4">
        <v>-1.7437940524393969</v>
      </c>
      <c r="P246" s="4">
        <v>-1.8771720677817869</v>
      </c>
      <c r="Q246" s="4">
        <v>-2.1443932684392188</v>
      </c>
      <c r="R246" s="4">
        <v>-1.4763402667956389</v>
      </c>
      <c r="S246" s="2">
        <v>-1.9075000000000011</v>
      </c>
      <c r="T246" s="2">
        <v>-1.344803643724696</v>
      </c>
      <c r="U246" s="2" t="s">
        <v>621</v>
      </c>
      <c r="V246" s="2">
        <v>148</v>
      </c>
      <c r="W246" s="4">
        <v>-0.24429804670867991</v>
      </c>
      <c r="X246" s="4">
        <v>-0.26298373300084532</v>
      </c>
      <c r="Y246" s="4">
        <v>-0.4254252750523847</v>
      </c>
      <c r="Z246" s="4">
        <v>-1.9321419923536112E-2</v>
      </c>
      <c r="AA246" s="2">
        <v>-0.47055000000000108</v>
      </c>
      <c r="AB246" s="2">
        <v>-2.0907433787240141E-2</v>
      </c>
    </row>
    <row r="247" spans="1:28" x14ac:dyDescent="0.2">
      <c r="A247" s="2">
        <v>91158</v>
      </c>
      <c r="C247" s="2" t="s">
        <v>672</v>
      </c>
      <c r="D247" s="2" t="s">
        <v>61</v>
      </c>
      <c r="E247" s="2" t="s">
        <v>53</v>
      </c>
      <c r="F247" s="11"/>
      <c r="G247" s="2" t="str">
        <f>IFERROR(VLOOKUP(F247,Picks!$A$2:$B$231,2,0),"")</f>
        <v/>
      </c>
      <c r="H247" s="2">
        <v>9</v>
      </c>
      <c r="I247" s="4">
        <v>0.33333333333333331</v>
      </c>
      <c r="J247" s="4">
        <v>4.88</v>
      </c>
      <c r="K247" s="4">
        <v>1.626666666666666</v>
      </c>
      <c r="L247" s="4">
        <v>1.9076613417668751</v>
      </c>
      <c r="M247" s="2" t="s">
        <v>648</v>
      </c>
      <c r="N247" s="2">
        <v>20</v>
      </c>
      <c r="O247" s="4">
        <v>-0.94518374627357815</v>
      </c>
      <c r="P247" s="4">
        <v>-1.1814796828419729</v>
      </c>
      <c r="Q247" s="4">
        <v>5.7961138294720917E-2</v>
      </c>
      <c r="R247" s="4">
        <v>-3.040640914547013</v>
      </c>
      <c r="S247" s="2">
        <v>2.3000000000000579E-2</v>
      </c>
      <c r="T247" s="2">
        <v>-1.6869384977082349</v>
      </c>
      <c r="U247" s="2" t="s">
        <v>621</v>
      </c>
      <c r="V247" s="2">
        <v>149</v>
      </c>
      <c r="W247" s="4">
        <v>-0.53383918048933532</v>
      </c>
      <c r="X247" s="4">
        <v>-0.66729897561166907</v>
      </c>
      <c r="Y247" s="4">
        <v>-1.8579299548032922E-2</v>
      </c>
      <c r="Z247" s="4">
        <v>-1.640378489707123</v>
      </c>
      <c r="AA247" s="2">
        <v>-2.055000000000096E-2</v>
      </c>
      <c r="AB247" s="2">
        <v>-1.775030240804784</v>
      </c>
    </row>
    <row r="248" spans="1:28" x14ac:dyDescent="0.2">
      <c r="A248" s="2">
        <v>110668</v>
      </c>
      <c r="C248" s="2" t="s">
        <v>408</v>
      </c>
      <c r="D248" s="2" t="s">
        <v>43</v>
      </c>
      <c r="E248" s="2" t="s">
        <v>37</v>
      </c>
      <c r="G248" s="2" t="str">
        <f>IFERROR(VLOOKUP(F248,Picks!$A$2:$B$231,2,0),"")</f>
        <v/>
      </c>
      <c r="I248" s="4"/>
      <c r="J248" s="4"/>
      <c r="K248" s="4"/>
      <c r="L248" s="4"/>
      <c r="M248" s="2" t="s">
        <v>621</v>
      </c>
      <c r="N248" s="2">
        <v>38</v>
      </c>
      <c r="O248" s="4"/>
      <c r="P248" s="4"/>
      <c r="Q248" s="4"/>
      <c r="R248" s="4"/>
      <c r="U248" s="2" t="s">
        <v>621</v>
      </c>
      <c r="V248" s="2">
        <v>151</v>
      </c>
      <c r="W248" s="4"/>
      <c r="X248" s="4"/>
      <c r="Y248" s="4"/>
      <c r="Z248" s="4"/>
    </row>
    <row r="249" spans="1:28" x14ac:dyDescent="0.2">
      <c r="A249" s="2">
        <v>90061</v>
      </c>
      <c r="C249" s="2" t="s">
        <v>190</v>
      </c>
      <c r="D249" s="2" t="s">
        <v>63</v>
      </c>
      <c r="E249" s="2" t="s">
        <v>37</v>
      </c>
      <c r="G249" s="2" t="str">
        <f>IFERROR(VLOOKUP(F249,Picks!$A$2:$B$231,2,0),"")</f>
        <v/>
      </c>
      <c r="H249" s="2">
        <v>13</v>
      </c>
      <c r="I249" s="4">
        <v>0.34210526315789469</v>
      </c>
      <c r="J249" s="4">
        <v>4.76</v>
      </c>
      <c r="K249" s="4">
        <v>1.628421052631579</v>
      </c>
      <c r="L249" s="4">
        <v>1.5684416163315369</v>
      </c>
      <c r="M249" s="2" t="s">
        <v>621</v>
      </c>
      <c r="N249" s="2">
        <v>32</v>
      </c>
      <c r="O249" s="4">
        <v>-1.9456512719880421</v>
      </c>
      <c r="P249" s="4">
        <v>-2.424090109362151</v>
      </c>
      <c r="Q249" s="4">
        <v>-1.7734104225231291</v>
      </c>
      <c r="R249" s="4">
        <v>-3.400109639620684</v>
      </c>
      <c r="S249" s="2">
        <v>-1.577500000000001</v>
      </c>
      <c r="T249" s="2">
        <v>-3.097172064777328</v>
      </c>
      <c r="U249" s="2" t="s">
        <v>621</v>
      </c>
      <c r="V249" s="2">
        <v>155</v>
      </c>
      <c r="W249" s="4">
        <v>-0.58732229614174458</v>
      </c>
      <c r="X249" s="4">
        <v>-0.73174581158643592</v>
      </c>
      <c r="Y249" s="4">
        <v>-0.12707155968252681</v>
      </c>
      <c r="Z249" s="4">
        <v>-1.6387571894423001</v>
      </c>
      <c r="AA249" s="2">
        <v>-0.14055000000000109</v>
      </c>
      <c r="AB249" s="2">
        <v>-1.7732758548398719</v>
      </c>
    </row>
    <row r="250" spans="1:28" x14ac:dyDescent="0.2">
      <c r="A250" s="2">
        <v>82628</v>
      </c>
      <c r="C250" s="2" t="s">
        <v>131</v>
      </c>
      <c r="D250" s="2" t="s">
        <v>39</v>
      </c>
      <c r="E250" s="2" t="s">
        <v>37</v>
      </c>
      <c r="G250" s="2" t="str">
        <f>IFERROR(VLOOKUP(F250,Picks!$A$2:$B$231,2,0),"")</f>
        <v/>
      </c>
      <c r="I250" s="4"/>
      <c r="J250" s="4"/>
      <c r="K250" s="4"/>
      <c r="L250" s="4"/>
      <c r="M250" s="2" t="s">
        <v>621</v>
      </c>
      <c r="N250" s="2">
        <v>40</v>
      </c>
      <c r="O250" s="4"/>
      <c r="P250" s="4"/>
      <c r="Q250" s="4"/>
      <c r="R250" s="4"/>
      <c r="U250" s="2" t="s">
        <v>621</v>
      </c>
      <c r="V250" s="2">
        <v>161</v>
      </c>
      <c r="W250" s="4"/>
      <c r="X250" s="4"/>
      <c r="Y250" s="4"/>
      <c r="Z250" s="4"/>
    </row>
    <row r="251" spans="1:28" x14ac:dyDescent="0.2">
      <c r="A251" s="2">
        <v>84339</v>
      </c>
      <c r="C251" s="2" t="s">
        <v>141</v>
      </c>
      <c r="D251" s="2" t="s">
        <v>39</v>
      </c>
      <c r="E251" s="2" t="s">
        <v>37</v>
      </c>
      <c r="G251" s="2" t="str">
        <f>IFERROR(VLOOKUP(F251,Picks!$A$2:$B$231,2,0),"")</f>
        <v/>
      </c>
      <c r="I251" s="4"/>
      <c r="J251" s="4"/>
      <c r="K251" s="4"/>
      <c r="L251" s="4"/>
      <c r="M251" s="2" t="s">
        <v>621</v>
      </c>
      <c r="N251" s="2">
        <v>42</v>
      </c>
      <c r="O251" s="4"/>
      <c r="P251" s="4"/>
      <c r="Q251" s="4"/>
      <c r="R251" s="4"/>
      <c r="U251" s="2" t="s">
        <v>621</v>
      </c>
      <c r="V251" s="2">
        <v>162</v>
      </c>
      <c r="W251" s="4"/>
      <c r="X251" s="4"/>
      <c r="Y251" s="4"/>
      <c r="Z251" s="4"/>
    </row>
    <row r="252" spans="1:28" x14ac:dyDescent="0.2">
      <c r="A252" s="2">
        <v>81005</v>
      </c>
      <c r="C252" s="2" t="s">
        <v>122</v>
      </c>
      <c r="D252" s="2" t="s">
        <v>41</v>
      </c>
      <c r="E252" s="2" t="s">
        <v>27</v>
      </c>
      <c r="G252" s="2" t="str">
        <f>IFERROR(VLOOKUP(F252,Picks!$A$2:$B$231,2,0),"")</f>
        <v/>
      </c>
      <c r="I252" s="4"/>
      <c r="J252" s="4"/>
      <c r="K252" s="4"/>
      <c r="L252" s="4"/>
      <c r="M252" s="2" t="s">
        <v>621</v>
      </c>
      <c r="N252" s="2">
        <v>51</v>
      </c>
      <c r="O252" s="4"/>
      <c r="P252" s="4"/>
      <c r="Q252" s="4"/>
      <c r="R252" s="4"/>
      <c r="U252" s="2" t="s">
        <v>621</v>
      </c>
      <c r="V252" s="2">
        <v>166</v>
      </c>
      <c r="W252" s="4"/>
      <c r="X252" s="4"/>
      <c r="Y252" s="4"/>
      <c r="Z252" s="4"/>
    </row>
    <row r="253" spans="1:28" x14ac:dyDescent="0.2">
      <c r="A253" s="2">
        <v>102796</v>
      </c>
      <c r="C253" s="2" t="s">
        <v>316</v>
      </c>
      <c r="D253" s="2" t="s">
        <v>43</v>
      </c>
      <c r="E253" s="2" t="s">
        <v>27</v>
      </c>
      <c r="G253" s="2" t="str">
        <f>IFERROR(VLOOKUP(F253,Picks!$A$2:$B$231,2,0),"")</f>
        <v/>
      </c>
      <c r="I253" s="4"/>
      <c r="J253" s="4"/>
      <c r="K253" s="4"/>
      <c r="L253" s="4"/>
      <c r="M253" s="2" t="s">
        <v>621</v>
      </c>
      <c r="N253" s="2">
        <v>54</v>
      </c>
      <c r="O253" s="4"/>
      <c r="P253" s="4"/>
      <c r="Q253" s="4"/>
      <c r="R253" s="4"/>
      <c r="U253" s="2" t="s">
        <v>621</v>
      </c>
      <c r="V253" s="2">
        <v>168</v>
      </c>
      <c r="W253" s="4"/>
      <c r="X253" s="4"/>
      <c r="Y253" s="4"/>
      <c r="Z253" s="4"/>
    </row>
    <row r="254" spans="1:28" x14ac:dyDescent="0.2">
      <c r="A254" s="2">
        <v>107170</v>
      </c>
      <c r="C254" s="2" t="s">
        <v>374</v>
      </c>
      <c r="D254" s="2" t="s">
        <v>61</v>
      </c>
      <c r="E254" s="2" t="s">
        <v>27</v>
      </c>
      <c r="G254" s="2" t="str">
        <f>IFERROR(VLOOKUP(F254,Picks!$A$2:$B$231,2,0),"")</f>
        <v/>
      </c>
      <c r="H254" s="2">
        <v>14</v>
      </c>
      <c r="I254" s="4">
        <v>0.36842105263157893</v>
      </c>
      <c r="J254" s="4">
        <v>4.1399999999999997</v>
      </c>
      <c r="K254" s="4">
        <v>1.5252631578947371</v>
      </c>
      <c r="L254" s="4">
        <v>1.5384362384395249</v>
      </c>
      <c r="M254" s="2" t="s">
        <v>621</v>
      </c>
      <c r="N254" s="2">
        <v>49</v>
      </c>
      <c r="O254" s="4">
        <v>-1.4099190396555099</v>
      </c>
      <c r="P254" s="4">
        <v>-1.739510503471084</v>
      </c>
      <c r="Q254" s="4">
        <v>-1.1766655932047121</v>
      </c>
      <c r="R254" s="4">
        <v>-2.5837778688706421</v>
      </c>
      <c r="S254" s="2">
        <v>-1.531333333333333</v>
      </c>
      <c r="T254" s="2">
        <v>-2.833669352759919</v>
      </c>
      <c r="U254" s="2" t="s">
        <v>621</v>
      </c>
      <c r="V254" s="2">
        <v>169</v>
      </c>
      <c r="W254" s="4">
        <v>-0.89660810124068269</v>
      </c>
      <c r="X254" s="4">
        <v>-1.1062048002320111</v>
      </c>
      <c r="Y254" s="4">
        <v>-0.68761490371074463</v>
      </c>
      <c r="Z254" s="4">
        <v>-1.7340896450139101</v>
      </c>
      <c r="AA254" s="2">
        <v>-0.76055000000000117</v>
      </c>
      <c r="AB254" s="2">
        <v>-1.876433749576714</v>
      </c>
    </row>
    <row r="255" spans="1:28" x14ac:dyDescent="0.2">
      <c r="A255" s="2">
        <v>142877</v>
      </c>
      <c r="C255" s="2" t="s">
        <v>371</v>
      </c>
      <c r="D255" s="2" t="s">
        <v>61</v>
      </c>
      <c r="E255" s="2" t="s">
        <v>27</v>
      </c>
      <c r="G255" s="2" t="str">
        <f>IFERROR(VLOOKUP(F255,Picks!$A$2:$B$231,2,0),"")</f>
        <v/>
      </c>
      <c r="I255" s="4"/>
      <c r="J255" s="4"/>
      <c r="K255" s="4"/>
      <c r="L255" s="4"/>
      <c r="M255" s="2" t="s">
        <v>621</v>
      </c>
      <c r="N255" s="2">
        <v>56</v>
      </c>
      <c r="O255" s="4"/>
      <c r="P255" s="4"/>
      <c r="Q255" s="4"/>
      <c r="R255" s="4"/>
      <c r="U255" s="2" t="s">
        <v>621</v>
      </c>
      <c r="V255" s="2">
        <v>175</v>
      </c>
      <c r="W255" s="4"/>
      <c r="X255" s="4"/>
      <c r="Y255" s="4"/>
      <c r="Z255" s="4"/>
    </row>
    <row r="256" spans="1:28" x14ac:dyDescent="0.2">
      <c r="A256" s="2">
        <v>117930</v>
      </c>
      <c r="C256" s="2" t="s">
        <v>471</v>
      </c>
      <c r="D256" s="2" t="s">
        <v>39</v>
      </c>
      <c r="E256" s="2" t="s">
        <v>27</v>
      </c>
      <c r="G256" s="2" t="str">
        <f>IFERROR(VLOOKUP(F256,Picks!$A$2:$B$231,2,0),"")</f>
        <v/>
      </c>
      <c r="I256" s="4"/>
      <c r="J256" s="4"/>
      <c r="K256" s="4"/>
      <c r="L256" s="4"/>
      <c r="M256" s="2" t="s">
        <v>621</v>
      </c>
      <c r="N256" s="2">
        <v>55</v>
      </c>
      <c r="O256" s="4"/>
      <c r="P256" s="4"/>
      <c r="Q256" s="4"/>
      <c r="R256" s="4"/>
      <c r="U256" s="2" t="s">
        <v>621</v>
      </c>
      <c r="V256" s="2">
        <v>176</v>
      </c>
      <c r="W256" s="4"/>
      <c r="X256" s="4"/>
      <c r="Y256" s="4"/>
      <c r="Z256" s="4"/>
    </row>
    <row r="257" spans="1:28" x14ac:dyDescent="0.2">
      <c r="A257" s="2">
        <v>80129</v>
      </c>
      <c r="C257" s="2" t="s">
        <v>116</v>
      </c>
      <c r="D257" s="2" t="s">
        <v>43</v>
      </c>
      <c r="E257" s="2" t="s">
        <v>29</v>
      </c>
      <c r="G257" s="2" t="str">
        <f>IFERROR(VLOOKUP(F257,Picks!$A$2:$B$231,2,0),"")</f>
        <v/>
      </c>
      <c r="H257" s="2">
        <v>32</v>
      </c>
      <c r="I257" s="4">
        <v>0.84210526315789469</v>
      </c>
      <c r="J257" s="4">
        <v>3.01</v>
      </c>
      <c r="K257" s="4">
        <v>2.534736842105263</v>
      </c>
      <c r="L257" s="4">
        <v>0.80150999919222532</v>
      </c>
      <c r="M257" s="2" t="s">
        <v>648</v>
      </c>
      <c r="N257" s="2">
        <v>44</v>
      </c>
      <c r="O257" s="4">
        <v>-1.2098820357633231</v>
      </c>
      <c r="P257" s="4">
        <v>-1.270041915994649</v>
      </c>
      <c r="Q257" s="4">
        <v>-1.500038639991359</v>
      </c>
      <c r="R257" s="4">
        <v>-0.92504682999958232</v>
      </c>
      <c r="S257" s="2">
        <v>-1.867333333333334</v>
      </c>
      <c r="T257" s="2">
        <v>-1.06288336298262</v>
      </c>
      <c r="U257" s="2" t="s">
        <v>621</v>
      </c>
      <c r="V257" s="2">
        <v>177</v>
      </c>
      <c r="W257" s="4">
        <v>-1.2822683988856329</v>
      </c>
      <c r="X257" s="4">
        <v>-1.3460276010401671</v>
      </c>
      <c r="Y257" s="4">
        <v>-1.709250353310561</v>
      </c>
      <c r="Z257" s="4">
        <v>-0.80119347263457774</v>
      </c>
      <c r="AA257" s="2">
        <v>-1.8905500000000011</v>
      </c>
      <c r="AB257" s="2">
        <v>-0.86696006536618775</v>
      </c>
    </row>
    <row r="258" spans="1:28" x14ac:dyDescent="0.2">
      <c r="A258" s="2">
        <v>145744</v>
      </c>
      <c r="C258" s="2" t="s">
        <v>479</v>
      </c>
      <c r="D258" s="2" t="s">
        <v>99</v>
      </c>
      <c r="E258" s="2" t="s">
        <v>29</v>
      </c>
      <c r="G258" s="2" t="str">
        <f>IFERROR(VLOOKUP(F258,Picks!$A$2:$B$231,2,0),"")</f>
        <v/>
      </c>
      <c r="H258" s="2">
        <v>9</v>
      </c>
      <c r="I258" s="4">
        <v>0.5</v>
      </c>
      <c r="J258" s="4">
        <v>3.29</v>
      </c>
      <c r="K258" s="4">
        <v>1.645</v>
      </c>
      <c r="L258" s="4">
        <v>1.5191634264752001</v>
      </c>
      <c r="M258" s="2" t="s">
        <v>648</v>
      </c>
      <c r="N258" s="2">
        <v>46</v>
      </c>
      <c r="O258" s="4">
        <v>-1.228104084905403</v>
      </c>
      <c r="P258" s="4">
        <v>-1.4448283351828271</v>
      </c>
      <c r="Q258" s="4">
        <v>-1.2751131745160389</v>
      </c>
      <c r="R258" s="4">
        <v>-1.699401076183009</v>
      </c>
      <c r="S258" s="2">
        <v>-1.587333333333333</v>
      </c>
      <c r="T258" s="2">
        <v>-1.9526202050878829</v>
      </c>
      <c r="U258" s="2" t="s">
        <v>621</v>
      </c>
      <c r="V258" s="2">
        <v>178</v>
      </c>
      <c r="W258" s="4">
        <v>-1.294580097287843</v>
      </c>
      <c r="X258" s="4">
        <v>-1.523035408573933</v>
      </c>
      <c r="Y258" s="4">
        <v>-1.4561017463300749</v>
      </c>
      <c r="Z258" s="4">
        <v>-1.62343590193972</v>
      </c>
      <c r="AA258" s="2">
        <v>-1.610550000000001</v>
      </c>
      <c r="AB258" s="2">
        <v>-1.7566969074714509</v>
      </c>
    </row>
    <row r="259" spans="1:28" x14ac:dyDescent="0.2">
      <c r="A259" s="2">
        <v>126182</v>
      </c>
      <c r="C259" s="2" t="s">
        <v>284</v>
      </c>
      <c r="D259" s="2" t="s">
        <v>58</v>
      </c>
      <c r="E259" s="2" t="s">
        <v>29</v>
      </c>
      <c r="G259" s="2" t="str">
        <f>IFERROR(VLOOKUP(F259,Picks!$A$2:$B$231,2,0),"")</f>
        <v/>
      </c>
      <c r="I259" s="4"/>
      <c r="J259" s="4"/>
      <c r="K259" s="4"/>
      <c r="L259" s="4"/>
      <c r="M259" s="2" t="s">
        <v>653</v>
      </c>
      <c r="N259" s="2">
        <v>56</v>
      </c>
      <c r="O259" s="4"/>
      <c r="P259" s="4"/>
      <c r="Q259" s="4"/>
      <c r="R259" s="4"/>
      <c r="U259" s="2" t="s">
        <v>621</v>
      </c>
      <c r="V259" s="2">
        <v>180</v>
      </c>
      <c r="W259" s="4"/>
      <c r="X259" s="4"/>
      <c r="Y259" s="4"/>
      <c r="Z259" s="4"/>
    </row>
    <row r="260" spans="1:28" x14ac:dyDescent="0.2">
      <c r="A260" s="2">
        <v>100084</v>
      </c>
      <c r="C260" s="2" t="s">
        <v>285</v>
      </c>
      <c r="D260" s="2" t="s">
        <v>26</v>
      </c>
      <c r="E260" s="2" t="s">
        <v>29</v>
      </c>
      <c r="G260" s="2" t="str">
        <f>IFERROR(VLOOKUP(F260,Picks!$A$2:$B$231,2,0),"")</f>
        <v/>
      </c>
      <c r="H260" s="2">
        <v>28</v>
      </c>
      <c r="I260" s="4">
        <v>0.73684210526315785</v>
      </c>
      <c r="J260" s="4">
        <v>2.96</v>
      </c>
      <c r="K260" s="4">
        <v>2.1810526315789471</v>
      </c>
      <c r="L260" s="4">
        <v>0.71961582923009737</v>
      </c>
      <c r="M260" s="2" t="s">
        <v>653</v>
      </c>
      <c r="N260" s="2">
        <v>51</v>
      </c>
      <c r="O260" s="4">
        <v>-1.305378612453566</v>
      </c>
      <c r="P260" s="4">
        <v>-1.4172682078067289</v>
      </c>
      <c r="Q260" s="4">
        <v>-1.54020390168338</v>
      </c>
      <c r="R260" s="4">
        <v>-1.232864666991752</v>
      </c>
      <c r="S260" s="2">
        <v>-1.917333333333334</v>
      </c>
      <c r="T260" s="2">
        <v>-1.416567573508936</v>
      </c>
      <c r="U260" s="2" t="s">
        <v>621</v>
      </c>
      <c r="V260" s="2">
        <v>183</v>
      </c>
      <c r="W260" s="4">
        <v>-1.385163978421579</v>
      </c>
      <c r="X260" s="4">
        <v>-1.5038923194291429</v>
      </c>
      <c r="Y260" s="4">
        <v>-1.754455461699933</v>
      </c>
      <c r="Z260" s="4">
        <v>-1.128047606022957</v>
      </c>
      <c r="AA260" s="2">
        <v>-1.9405500000000011</v>
      </c>
      <c r="AB260" s="2">
        <v>-1.220644275892504</v>
      </c>
    </row>
    <row r="261" spans="1:28" x14ac:dyDescent="0.2">
      <c r="A261" s="2">
        <v>78605</v>
      </c>
      <c r="C261" s="2" t="s">
        <v>108</v>
      </c>
      <c r="D261" s="2" t="s">
        <v>77</v>
      </c>
      <c r="E261" s="2" t="s">
        <v>29</v>
      </c>
      <c r="G261" s="2" t="str">
        <f>IFERROR(VLOOKUP(F261,Picks!$A$2:$B$231,2,0),"")</f>
        <v/>
      </c>
      <c r="H261" s="2">
        <v>30</v>
      </c>
      <c r="I261" s="4">
        <v>0.78947368421052633</v>
      </c>
      <c r="J261" s="4">
        <v>2.86</v>
      </c>
      <c r="K261" s="4">
        <v>2.257894736842105</v>
      </c>
      <c r="L261" s="4">
        <v>0.73873950736640193</v>
      </c>
      <c r="M261" s="2" t="s">
        <v>653</v>
      </c>
      <c r="N261" s="2">
        <v>52</v>
      </c>
      <c r="O261" s="4">
        <v>-1.347849432150471</v>
      </c>
      <c r="P261" s="4">
        <v>-1.438715686003311</v>
      </c>
      <c r="Q261" s="4">
        <v>-1.620534425067423</v>
      </c>
      <c r="R261" s="4">
        <v>-1.1659875774071431</v>
      </c>
      <c r="S261" s="2">
        <v>-2.0173333333333341</v>
      </c>
      <c r="T261" s="2">
        <v>-1.339725468245778</v>
      </c>
      <c r="U261" s="2" t="s">
        <v>621</v>
      </c>
      <c r="V261" s="2">
        <v>184</v>
      </c>
      <c r="W261" s="4">
        <v>-1.4331185360867891</v>
      </c>
      <c r="X261" s="4">
        <v>-1.5297332688566849</v>
      </c>
      <c r="Y261" s="4">
        <v>-1.8448656784786781</v>
      </c>
      <c r="Z261" s="4">
        <v>-1.0570346544236959</v>
      </c>
      <c r="AA261" s="2">
        <v>-2.040550000000001</v>
      </c>
      <c r="AB261" s="2">
        <v>-1.1438021706293451</v>
      </c>
    </row>
    <row r="262" spans="1:28" x14ac:dyDescent="0.2">
      <c r="A262" s="2">
        <v>89846</v>
      </c>
      <c r="C262" s="2" t="s">
        <v>187</v>
      </c>
      <c r="D262" s="2" t="s">
        <v>31</v>
      </c>
      <c r="E262" s="2" t="s">
        <v>29</v>
      </c>
      <c r="G262" s="2" t="str">
        <f>IFERROR(VLOOKUP(F262,Picks!$A$2:$B$231,2,0),"")</f>
        <v/>
      </c>
      <c r="H262" s="2">
        <v>28</v>
      </c>
      <c r="I262" s="4">
        <v>0.73684210526315785</v>
      </c>
      <c r="J262" s="4">
        <v>2.81</v>
      </c>
      <c r="K262" s="4">
        <v>2.0705263157894742</v>
      </c>
      <c r="L262" s="4">
        <v>0.54840055809552923</v>
      </c>
      <c r="M262" s="2" t="s">
        <v>653</v>
      </c>
      <c r="N262" s="2">
        <v>57</v>
      </c>
      <c r="O262" s="4">
        <v>-1.4074079420177259</v>
      </c>
      <c r="P262" s="4">
        <v>-1.528042908476388</v>
      </c>
      <c r="Q262" s="4">
        <v>-1.660699686759445</v>
      </c>
      <c r="R262" s="4">
        <v>-1.329057741051805</v>
      </c>
      <c r="S262" s="2">
        <v>-2.067333333333333</v>
      </c>
      <c r="T262" s="2">
        <v>-1.5270938892984089</v>
      </c>
      <c r="U262" s="2" t="s">
        <v>621</v>
      </c>
      <c r="V262" s="2">
        <v>187</v>
      </c>
      <c r="W262" s="4">
        <v>-1.4977405221611739</v>
      </c>
      <c r="X262" s="4">
        <v>-1.6261182812035599</v>
      </c>
      <c r="Y262" s="4">
        <v>-1.89007078686805</v>
      </c>
      <c r="Z262" s="4">
        <v>-1.2301895227068249</v>
      </c>
      <c r="AA262" s="2">
        <v>-2.0905500000000008</v>
      </c>
      <c r="AB262" s="2">
        <v>-1.3311705916819769</v>
      </c>
    </row>
    <row r="263" spans="1:28" x14ac:dyDescent="0.2">
      <c r="A263" s="2">
        <v>68938</v>
      </c>
      <c r="C263" s="2" t="s">
        <v>70</v>
      </c>
      <c r="D263" s="2" t="s">
        <v>63</v>
      </c>
      <c r="E263" s="2" t="s">
        <v>29</v>
      </c>
      <c r="G263" s="2" t="str">
        <f>IFERROR(VLOOKUP(F263,Picks!$A$2:$B$231,2,0),"")</f>
        <v/>
      </c>
      <c r="I263" s="4"/>
      <c r="J263" s="4"/>
      <c r="K263" s="4"/>
      <c r="L263" s="4"/>
      <c r="M263" s="2" t="s">
        <v>648</v>
      </c>
      <c r="N263" s="2">
        <v>47</v>
      </c>
      <c r="O263" s="4"/>
      <c r="P263" s="4"/>
      <c r="Q263" s="4"/>
      <c r="R263" s="4"/>
      <c r="U263" s="2" t="s">
        <v>621</v>
      </c>
      <c r="V263" s="2">
        <v>189</v>
      </c>
      <c r="W263" s="4"/>
      <c r="X263" s="4"/>
      <c r="Y263" s="4"/>
      <c r="Z263" s="4"/>
    </row>
    <row r="264" spans="1:28" x14ac:dyDescent="0.2">
      <c r="A264" s="2">
        <v>82730</v>
      </c>
      <c r="C264" s="2" t="s">
        <v>132</v>
      </c>
      <c r="D264" s="2" t="s">
        <v>118</v>
      </c>
      <c r="E264" s="2" t="s">
        <v>24</v>
      </c>
      <c r="G264" s="2" t="str">
        <f>IFERROR(VLOOKUP(F264,Picks!$A$2:$B$231,2,0),"")</f>
        <v/>
      </c>
      <c r="I264" s="4"/>
      <c r="J264" s="4"/>
      <c r="K264" s="4"/>
      <c r="L264" s="4"/>
      <c r="M264" s="2" t="s">
        <v>621</v>
      </c>
      <c r="N264" s="2">
        <v>17</v>
      </c>
      <c r="O264" s="4"/>
      <c r="P264" s="4"/>
      <c r="Q264" s="4"/>
      <c r="R264" s="4"/>
      <c r="U264" s="2" t="s">
        <v>655</v>
      </c>
      <c r="V264" s="2">
        <v>195</v>
      </c>
      <c r="W264" s="4"/>
      <c r="X264" s="4"/>
      <c r="Y264" s="4"/>
      <c r="Z264" s="4"/>
    </row>
    <row r="265" spans="1:28" x14ac:dyDescent="0.2">
      <c r="A265" s="2">
        <v>73318</v>
      </c>
      <c r="C265" s="2" t="s">
        <v>95</v>
      </c>
      <c r="D265" s="2" t="s">
        <v>41</v>
      </c>
      <c r="E265" s="2" t="s">
        <v>37</v>
      </c>
      <c r="G265" s="2" t="str">
        <f>IFERROR(VLOOKUP(F265,Picks!$A$2:$B$231,2,0),"")</f>
        <v/>
      </c>
      <c r="H265" s="2">
        <v>15</v>
      </c>
      <c r="I265" s="4">
        <v>0.39473684210526322</v>
      </c>
      <c r="J265" s="4">
        <v>4.49</v>
      </c>
      <c r="K265" s="4">
        <v>1.772368421052632</v>
      </c>
      <c r="L265" s="4">
        <v>1.2140280402460051</v>
      </c>
      <c r="M265" s="2" t="s">
        <v>655</v>
      </c>
      <c r="N265" s="2">
        <v>44</v>
      </c>
      <c r="O265" s="4">
        <v>-2.0812432291090648</v>
      </c>
      <c r="P265" s="4">
        <v>-2.5429981577538419</v>
      </c>
      <c r="Q265" s="4">
        <v>-2.07694184190902</v>
      </c>
      <c r="R265" s="4">
        <v>-3.2420826315210749</v>
      </c>
      <c r="S265" s="2">
        <v>-1.8474999999999999</v>
      </c>
      <c r="T265" s="2">
        <v>-2.9532246963562749</v>
      </c>
      <c r="U265" s="2" t="s">
        <v>655</v>
      </c>
      <c r="V265" s="2">
        <v>196</v>
      </c>
      <c r="W265" s="4">
        <v>-0.67519678576787345</v>
      </c>
      <c r="X265" s="4">
        <v>-0.82499928807650136</v>
      </c>
      <c r="Y265" s="4">
        <v>-0.37117914498513738</v>
      </c>
      <c r="Z265" s="4">
        <v>-1.5057295027135471</v>
      </c>
      <c r="AA265" s="2">
        <v>-0.41055000000000058</v>
      </c>
      <c r="AB265" s="2">
        <v>-1.6293284864188191</v>
      </c>
    </row>
    <row r="266" spans="1:28" x14ac:dyDescent="0.2">
      <c r="A266" s="2">
        <v>96793</v>
      </c>
      <c r="C266" s="2" t="s">
        <v>245</v>
      </c>
      <c r="D266" s="2" t="s">
        <v>33</v>
      </c>
      <c r="E266" s="2" t="s">
        <v>53</v>
      </c>
      <c r="G266" s="2" t="str">
        <f>IFERROR(VLOOKUP(F266,Picks!$A$2:$B$231,2,0),"")</f>
        <v/>
      </c>
      <c r="H266" s="2">
        <v>13</v>
      </c>
      <c r="I266" s="4">
        <v>0.68421052631578949</v>
      </c>
      <c r="J266" s="4">
        <v>3.46</v>
      </c>
      <c r="K266" s="4">
        <v>2.3673684210526318</v>
      </c>
      <c r="L266" s="4">
        <v>1.2097759688210219</v>
      </c>
      <c r="M266" s="2" t="s">
        <v>621</v>
      </c>
      <c r="N266" s="2">
        <v>27</v>
      </c>
      <c r="O266" s="4">
        <v>-2.5297827244783031</v>
      </c>
      <c r="P266" s="4">
        <v>-2.7945274282027759</v>
      </c>
      <c r="Q266" s="4">
        <v>-3.520509139031438</v>
      </c>
      <c r="R266" s="4">
        <v>-1.7055548619597829</v>
      </c>
      <c r="S266" s="2">
        <v>-1.3969999999999989</v>
      </c>
      <c r="T266" s="2">
        <v>-0.94623674332226937</v>
      </c>
      <c r="U266" s="2" t="s">
        <v>655</v>
      </c>
      <c r="V266" s="2">
        <v>198</v>
      </c>
      <c r="W266" s="4">
        <v>-1.0535351548475409</v>
      </c>
      <c r="X266" s="4">
        <v>-1.1637888338432141</v>
      </c>
      <c r="Y266" s="4">
        <v>-1.3024043778062091</v>
      </c>
      <c r="Z266" s="4">
        <v>-0.95586551789872121</v>
      </c>
      <c r="AA266" s="2">
        <v>-1.4405500000000011</v>
      </c>
      <c r="AB266" s="2">
        <v>-1.0343284864188189</v>
      </c>
    </row>
    <row r="267" spans="1:28" x14ac:dyDescent="0.2">
      <c r="A267" s="2">
        <v>86863</v>
      </c>
      <c r="C267" s="2" t="s">
        <v>162</v>
      </c>
      <c r="D267" s="2" t="s">
        <v>41</v>
      </c>
      <c r="E267" s="2" t="s">
        <v>53</v>
      </c>
      <c r="G267" s="2" t="str">
        <f>IFERROR(VLOOKUP(F267,Picks!$A$2:$B$231,2,0),"")</f>
        <v/>
      </c>
      <c r="I267" s="4"/>
      <c r="J267" s="4"/>
      <c r="K267" s="4"/>
      <c r="L267" s="4"/>
      <c r="M267" s="2" t="s">
        <v>621</v>
      </c>
      <c r="N267" s="2">
        <v>34</v>
      </c>
      <c r="O267" s="4"/>
      <c r="P267" s="4"/>
      <c r="Q267" s="4"/>
      <c r="R267" s="4"/>
      <c r="U267" s="2" t="s">
        <v>655</v>
      </c>
      <c r="V267" s="2">
        <v>201</v>
      </c>
      <c r="W267" s="4"/>
      <c r="X267" s="4"/>
      <c r="Y267" s="4"/>
      <c r="Z267" s="4"/>
    </row>
    <row r="268" spans="1:28" x14ac:dyDescent="0.2">
      <c r="A268" s="2">
        <v>71227</v>
      </c>
      <c r="C268" s="2" t="s">
        <v>83</v>
      </c>
      <c r="D268" s="2" t="s">
        <v>39</v>
      </c>
      <c r="E268" s="2" t="s">
        <v>53</v>
      </c>
      <c r="G268" s="2" t="str">
        <f>IFERROR(VLOOKUP(F268,Picks!$A$2:$B$231,2,0),"")</f>
        <v/>
      </c>
      <c r="I268" s="4"/>
      <c r="J268" s="4"/>
      <c r="K268" s="4"/>
      <c r="L268" s="4"/>
      <c r="M268" s="2" t="s">
        <v>621</v>
      </c>
      <c r="N268" s="2">
        <v>33</v>
      </c>
      <c r="O268" s="4"/>
      <c r="P268" s="4"/>
      <c r="Q268" s="4"/>
      <c r="R268" s="4"/>
      <c r="U268" s="2" t="s">
        <v>655</v>
      </c>
      <c r="V268" s="2">
        <v>202</v>
      </c>
      <c r="W268" s="4"/>
      <c r="X268" s="4"/>
      <c r="Y268" s="4"/>
      <c r="Z268" s="4"/>
    </row>
    <row r="269" spans="1:28" x14ac:dyDescent="0.2">
      <c r="A269" s="2">
        <v>97642</v>
      </c>
      <c r="C269" s="2" t="s">
        <v>255</v>
      </c>
      <c r="D269" s="2" t="s">
        <v>58</v>
      </c>
      <c r="E269" s="2" t="s">
        <v>53</v>
      </c>
      <c r="G269" s="2" t="str">
        <f>IFERROR(VLOOKUP(F269,Picks!$A$2:$B$231,2,0),"")</f>
        <v/>
      </c>
      <c r="I269" s="4"/>
      <c r="J269" s="4"/>
      <c r="K269" s="4"/>
      <c r="L269" s="4"/>
      <c r="M269" s="2" t="s">
        <v>621</v>
      </c>
      <c r="N269" s="2">
        <v>36</v>
      </c>
      <c r="O269" s="4"/>
      <c r="P269" s="4"/>
      <c r="Q269" s="4"/>
      <c r="R269" s="4"/>
      <c r="U269" s="2" t="s">
        <v>655</v>
      </c>
      <c r="V269" s="2">
        <v>204</v>
      </c>
      <c r="W269" s="4"/>
      <c r="X269" s="4"/>
      <c r="Y269" s="4"/>
      <c r="Z269" s="4"/>
    </row>
    <row r="270" spans="1:28" x14ac:dyDescent="0.2">
      <c r="A270" s="2">
        <v>97878</v>
      </c>
      <c r="C270" s="2" t="s">
        <v>263</v>
      </c>
      <c r="D270" s="2" t="s">
        <v>39</v>
      </c>
      <c r="E270" s="2" t="s">
        <v>53</v>
      </c>
      <c r="G270" s="2" t="str">
        <f>IFERROR(VLOOKUP(F270,Picks!$A$2:$B$231,2,0),"")</f>
        <v/>
      </c>
      <c r="I270" s="4"/>
      <c r="J270" s="4"/>
      <c r="K270" s="4"/>
      <c r="L270" s="4"/>
      <c r="M270" s="2" t="s">
        <v>621</v>
      </c>
      <c r="N270" s="2">
        <v>38</v>
      </c>
      <c r="O270" s="4"/>
      <c r="P270" s="4"/>
      <c r="Q270" s="4"/>
      <c r="R270" s="4"/>
      <c r="U270" s="2" t="s">
        <v>655</v>
      </c>
      <c r="V270" s="2">
        <v>207</v>
      </c>
      <c r="W270" s="4"/>
      <c r="X270" s="4"/>
      <c r="Y270" s="4"/>
      <c r="Z270" s="4"/>
    </row>
    <row r="271" spans="1:28" x14ac:dyDescent="0.2">
      <c r="A271" s="2">
        <v>130843</v>
      </c>
      <c r="C271" s="2" t="s">
        <v>547</v>
      </c>
      <c r="D271" s="2" t="s">
        <v>43</v>
      </c>
      <c r="E271" s="2" t="s">
        <v>53</v>
      </c>
      <c r="G271" s="2" t="str">
        <f>IFERROR(VLOOKUP(F271,Picks!$A$2:$B$231,2,0),"")</f>
        <v/>
      </c>
      <c r="I271" s="4"/>
      <c r="J271" s="4"/>
      <c r="K271" s="4"/>
      <c r="L271" s="4"/>
      <c r="M271" s="2" t="s">
        <v>621</v>
      </c>
      <c r="N271" s="2">
        <v>40</v>
      </c>
      <c r="O271" s="4"/>
      <c r="P271" s="4"/>
      <c r="Q271" s="4"/>
      <c r="R271" s="4"/>
      <c r="U271" s="2" t="s">
        <v>655</v>
      </c>
      <c r="V271" s="2">
        <v>209</v>
      </c>
      <c r="W271" s="4"/>
      <c r="X271" s="4"/>
      <c r="Y271" s="4"/>
      <c r="Z271" s="4"/>
    </row>
    <row r="272" spans="1:28" x14ac:dyDescent="0.2">
      <c r="A272" s="2">
        <v>90846</v>
      </c>
      <c r="C272" s="2" t="s">
        <v>199</v>
      </c>
      <c r="D272" s="2" t="s">
        <v>118</v>
      </c>
      <c r="E272" s="2" t="s">
        <v>53</v>
      </c>
      <c r="G272" s="2" t="str">
        <f>IFERROR(VLOOKUP(F272,Picks!$A$2:$B$231,2,0),"")</f>
        <v/>
      </c>
      <c r="I272" s="4"/>
      <c r="J272" s="4"/>
      <c r="K272" s="4"/>
      <c r="L272" s="4"/>
      <c r="M272" s="2" t="s">
        <v>621</v>
      </c>
      <c r="N272" s="2">
        <v>35</v>
      </c>
      <c r="O272" s="4"/>
      <c r="P272" s="4"/>
      <c r="Q272" s="4"/>
      <c r="R272" s="4"/>
      <c r="U272" s="2" t="s">
        <v>655</v>
      </c>
      <c r="V272" s="2">
        <v>210</v>
      </c>
      <c r="W272" s="4"/>
      <c r="X272" s="4"/>
      <c r="Y272" s="4"/>
      <c r="Z272" s="4"/>
    </row>
    <row r="273" spans="1:28" x14ac:dyDescent="0.2">
      <c r="A273" s="2">
        <v>109127</v>
      </c>
      <c r="C273" s="2" t="s">
        <v>399</v>
      </c>
      <c r="D273" s="2" t="s">
        <v>39</v>
      </c>
      <c r="E273" s="2" t="s">
        <v>53</v>
      </c>
      <c r="G273" s="2" t="str">
        <f>IFERROR(VLOOKUP(F273,Picks!$A$2:$B$231,2,0),"")</f>
        <v/>
      </c>
      <c r="I273" s="4"/>
      <c r="J273" s="4"/>
      <c r="K273" s="4"/>
      <c r="L273" s="4"/>
      <c r="M273" s="2" t="s">
        <v>621</v>
      </c>
      <c r="N273" s="2">
        <v>37</v>
      </c>
      <c r="O273" s="4"/>
      <c r="P273" s="4"/>
      <c r="Q273" s="4"/>
      <c r="R273" s="4"/>
      <c r="U273" s="2" t="s">
        <v>655</v>
      </c>
      <c r="V273" s="2">
        <v>211</v>
      </c>
      <c r="W273" s="4"/>
      <c r="X273" s="4"/>
      <c r="Y273" s="4"/>
      <c r="Z273" s="4"/>
    </row>
    <row r="274" spans="1:28" x14ac:dyDescent="0.2">
      <c r="A274" s="2">
        <v>77777</v>
      </c>
      <c r="C274" s="2" t="s">
        <v>101</v>
      </c>
      <c r="D274" s="2" t="s">
        <v>50</v>
      </c>
      <c r="E274" s="2" t="s">
        <v>29</v>
      </c>
      <c r="G274" s="2" t="str">
        <f>IFERROR(VLOOKUP(F274,Picks!$A$2:$B$231,2,0),"")</f>
        <v/>
      </c>
      <c r="H274" s="2">
        <v>30</v>
      </c>
      <c r="I274" s="4">
        <v>0.78947368421052633</v>
      </c>
      <c r="J274" s="4">
        <v>2.63</v>
      </c>
      <c r="K274" s="4">
        <v>2.0763157894736839</v>
      </c>
      <c r="L274" s="4">
        <v>0.53848504630347993</v>
      </c>
      <c r="M274" s="2" t="s">
        <v>621</v>
      </c>
      <c r="N274" s="2">
        <v>59</v>
      </c>
      <c r="O274" s="4">
        <v>-1.510924332442775</v>
      </c>
      <c r="P274" s="4">
        <v>-1.6127843997984681</v>
      </c>
      <c r="Q274" s="4">
        <v>-1.8052946288507219</v>
      </c>
      <c r="R274" s="4">
        <v>-1.324019056220088</v>
      </c>
      <c r="S274" s="2">
        <v>-2.2473333333333341</v>
      </c>
      <c r="T274" s="2">
        <v>-1.521304415614199</v>
      </c>
      <c r="U274" s="2" t="s">
        <v>655</v>
      </c>
      <c r="V274" s="2">
        <v>213</v>
      </c>
      <c r="W274" s="4">
        <v>-1.612887228513457</v>
      </c>
      <c r="X274" s="4">
        <v>-1.7216211989750381</v>
      </c>
      <c r="Y274" s="4">
        <v>-2.0528091770697912</v>
      </c>
      <c r="Z274" s="4">
        <v>-1.224839231832908</v>
      </c>
      <c r="AA274" s="2">
        <v>-2.270550000000001</v>
      </c>
      <c r="AB274" s="2">
        <v>-1.3253811179977659</v>
      </c>
    </row>
    <row r="275" spans="1:28" x14ac:dyDescent="0.2">
      <c r="A275" s="2">
        <v>103295</v>
      </c>
      <c r="C275" s="2" t="s">
        <v>325</v>
      </c>
      <c r="D275" s="2" t="s">
        <v>77</v>
      </c>
      <c r="E275" s="2" t="s">
        <v>29</v>
      </c>
      <c r="G275" s="2" t="str">
        <f>IFERROR(VLOOKUP(F275,Picks!$A$2:$B$231,2,0),"")</f>
        <v/>
      </c>
      <c r="H275" s="2">
        <v>30</v>
      </c>
      <c r="I275" s="4">
        <v>0.78947368421052633</v>
      </c>
      <c r="J275" s="4">
        <v>2.57</v>
      </c>
      <c r="K275" s="4">
        <v>2.0289473684210519</v>
      </c>
      <c r="L275" s="4">
        <v>0.87074031221880477</v>
      </c>
      <c r="M275" s="2" t="s">
        <v>621</v>
      </c>
      <c r="N275" s="2">
        <v>60</v>
      </c>
      <c r="O275" s="4">
        <v>-1.5534656107798981</v>
      </c>
      <c r="P275" s="4">
        <v>-1.658193629484161</v>
      </c>
      <c r="Q275" s="4">
        <v>-1.8534929428811471</v>
      </c>
      <c r="R275" s="4">
        <v>-1.365244659388682</v>
      </c>
      <c r="S275" s="2">
        <v>-2.3073333333333341</v>
      </c>
      <c r="T275" s="2">
        <v>-1.568672836666831</v>
      </c>
      <c r="U275" s="2" t="s">
        <v>655</v>
      </c>
      <c r="V275" s="2">
        <v>214</v>
      </c>
      <c r="W275" s="4">
        <v>-1.6597834091465009</v>
      </c>
      <c r="X275" s="4">
        <v>-1.7716789198754781</v>
      </c>
      <c r="Y275" s="4">
        <v>-2.1070553071370379</v>
      </c>
      <c r="Z275" s="4">
        <v>-1.2686143389831379</v>
      </c>
      <c r="AA275" s="2">
        <v>-2.330550000000001</v>
      </c>
      <c r="AB275" s="2">
        <v>-1.3727495390503981</v>
      </c>
    </row>
    <row r="276" spans="1:28" x14ac:dyDescent="0.2">
      <c r="A276" s="2">
        <v>103767</v>
      </c>
      <c r="C276" s="2" t="s">
        <v>329</v>
      </c>
      <c r="D276" s="2" t="s">
        <v>50</v>
      </c>
      <c r="E276" s="2" t="s">
        <v>29</v>
      </c>
      <c r="G276" s="2" t="str">
        <f>IFERROR(VLOOKUP(F276,Picks!$A$2:$B$231,2,0),"")</f>
        <v/>
      </c>
      <c r="H276" s="2">
        <v>19</v>
      </c>
      <c r="I276" s="4">
        <v>0.5</v>
      </c>
      <c r="J276" s="4">
        <v>2.63</v>
      </c>
      <c r="K276" s="4">
        <v>1.3149999999999999</v>
      </c>
      <c r="L276" s="4">
        <v>0.61793103373002489</v>
      </c>
      <c r="M276" s="2" t="s">
        <v>621</v>
      </c>
      <c r="N276" s="2">
        <v>61</v>
      </c>
      <c r="O276" s="4">
        <v>-1.5961463386547681</v>
      </c>
      <c r="P276" s="4">
        <v>-1.877819221946786</v>
      </c>
      <c r="Q276" s="4">
        <v>-1.8052946288507219</v>
      </c>
      <c r="R276" s="4">
        <v>-1.986606111590882</v>
      </c>
      <c r="S276" s="2">
        <v>-2.2473333333333341</v>
      </c>
      <c r="T276" s="2">
        <v>-2.2826202050878832</v>
      </c>
      <c r="U276" s="2" t="s">
        <v>655</v>
      </c>
      <c r="V276" s="2">
        <v>216</v>
      </c>
      <c r="W276" s="4">
        <v>-1.702589524101608</v>
      </c>
      <c r="X276" s="4">
        <v>-2.003046498943069</v>
      </c>
      <c r="Y276" s="4">
        <v>-2.0528091770697912</v>
      </c>
      <c r="Z276" s="4">
        <v>-1.9284024817529839</v>
      </c>
      <c r="AA276" s="2">
        <v>-2.270550000000001</v>
      </c>
      <c r="AB276" s="2">
        <v>-2.0866969074714512</v>
      </c>
    </row>
    <row r="277" spans="1:28" x14ac:dyDescent="0.2">
      <c r="A277" s="2">
        <v>81952</v>
      </c>
      <c r="C277" s="2" t="s">
        <v>127</v>
      </c>
      <c r="D277" s="2" t="s">
        <v>39</v>
      </c>
      <c r="E277" s="2" t="s">
        <v>29</v>
      </c>
      <c r="G277" s="2" t="str">
        <f>IFERROR(VLOOKUP(F277,Picks!$A$2:$B$231,2,0),"")</f>
        <v/>
      </c>
      <c r="H277" s="2">
        <v>18</v>
      </c>
      <c r="I277" s="4">
        <v>0.47368421052631582</v>
      </c>
      <c r="J277" s="4">
        <v>2.56</v>
      </c>
      <c r="K277" s="4">
        <v>1.2126315789473681</v>
      </c>
      <c r="L277" s="4">
        <v>0.89765416582472046</v>
      </c>
      <c r="M277" s="2" t="s">
        <v>621</v>
      </c>
      <c r="N277" s="2">
        <v>63</v>
      </c>
      <c r="O277" s="4">
        <v>-1.639743398228249</v>
      </c>
      <c r="P277" s="4">
        <v>-1.9471952853960459</v>
      </c>
      <c r="Q277" s="4">
        <v>-1.8615259952195511</v>
      </c>
      <c r="R277" s="4">
        <v>-2.075699220660788</v>
      </c>
      <c r="S277" s="2">
        <v>-2.317333333333333</v>
      </c>
      <c r="T277" s="2">
        <v>-2.3849886261405149</v>
      </c>
      <c r="U277" s="2" t="s">
        <v>655</v>
      </c>
      <c r="V277" s="2">
        <v>218</v>
      </c>
      <c r="W277" s="4">
        <v>-1.750618895301993</v>
      </c>
      <c r="X277" s="4">
        <v>-2.0788599381711168</v>
      </c>
      <c r="Y277" s="4">
        <v>-2.1160963288149119</v>
      </c>
      <c r="Z277" s="4">
        <v>-2.0230053522054239</v>
      </c>
      <c r="AA277" s="2">
        <v>-2.3405500000000008</v>
      </c>
      <c r="AB277" s="2">
        <v>-2.189065328524082</v>
      </c>
    </row>
    <row r="278" spans="1:28" x14ac:dyDescent="0.2">
      <c r="A278" s="2">
        <v>98022</v>
      </c>
      <c r="C278" s="2" t="s">
        <v>260</v>
      </c>
      <c r="D278" s="2" t="s">
        <v>45</v>
      </c>
      <c r="E278" s="2" t="s">
        <v>29</v>
      </c>
      <c r="G278" s="2" t="str">
        <f>IFERROR(VLOOKUP(F278,Picks!$A$2:$B$231,2,0),"")</f>
        <v/>
      </c>
      <c r="H278" s="2">
        <v>15</v>
      </c>
      <c r="I278" s="4">
        <v>0.39473684210526322</v>
      </c>
      <c r="J278" s="4">
        <v>2.5099999999999998</v>
      </c>
      <c r="K278" s="4">
        <v>0.99078947368421044</v>
      </c>
      <c r="L278" s="4">
        <v>1.419502271874812</v>
      </c>
      <c r="M278" s="2" t="s">
        <v>621</v>
      </c>
      <c r="N278" s="2">
        <v>64</v>
      </c>
      <c r="O278" s="4">
        <v>-1.676554954824419</v>
      </c>
      <c r="P278" s="4">
        <v>-2.0485237390137589</v>
      </c>
      <c r="Q278" s="4">
        <v>-1.9016912569115729</v>
      </c>
      <c r="R278" s="4">
        <v>-2.2687724621670369</v>
      </c>
      <c r="S278" s="2">
        <v>-2.3673333333333342</v>
      </c>
      <c r="T278" s="2">
        <v>-2.6068307314036732</v>
      </c>
      <c r="U278" s="2" t="s">
        <v>655</v>
      </c>
      <c r="V278" s="2">
        <v>219</v>
      </c>
      <c r="W278" s="4">
        <v>-1.790695745411699</v>
      </c>
      <c r="X278" s="4">
        <v>-2.1879883705995029</v>
      </c>
      <c r="Y278" s="4">
        <v>-2.1613014372042851</v>
      </c>
      <c r="Z278" s="4">
        <v>-2.2280187706923318</v>
      </c>
      <c r="AA278" s="2">
        <v>-2.3905500000000011</v>
      </c>
      <c r="AB278" s="2">
        <v>-2.4109074337872398</v>
      </c>
    </row>
    <row r="279" spans="1:28" x14ac:dyDescent="0.2">
      <c r="A279" s="2">
        <v>103987</v>
      </c>
      <c r="C279" s="2" t="s">
        <v>330</v>
      </c>
      <c r="D279" s="2" t="s">
        <v>63</v>
      </c>
      <c r="E279" s="2" t="s">
        <v>29</v>
      </c>
      <c r="G279" s="2" t="str">
        <f>IFERROR(VLOOKUP(F279,Picks!$A$2:$B$231,2,0),"")</f>
        <v/>
      </c>
      <c r="I279" s="4"/>
      <c r="J279" s="4"/>
      <c r="K279" s="4"/>
      <c r="L279" s="4"/>
      <c r="M279" s="2" t="s">
        <v>621</v>
      </c>
      <c r="N279" s="2">
        <v>69</v>
      </c>
      <c r="O279" s="4"/>
      <c r="P279" s="4"/>
      <c r="Q279" s="4"/>
      <c r="R279" s="4"/>
      <c r="U279" s="2" t="s">
        <v>655</v>
      </c>
      <c r="V279" s="2">
        <v>221</v>
      </c>
      <c r="W279" s="4"/>
      <c r="X279" s="4"/>
      <c r="Y279" s="4"/>
      <c r="Z279" s="4"/>
    </row>
    <row r="280" spans="1:28" x14ac:dyDescent="0.2">
      <c r="A280" s="2">
        <v>131832</v>
      </c>
      <c r="C280" s="2" t="s">
        <v>553</v>
      </c>
      <c r="D280" s="2" t="s">
        <v>43</v>
      </c>
      <c r="E280" s="2" t="s">
        <v>29</v>
      </c>
      <c r="G280" s="2" t="str">
        <f>IFERROR(VLOOKUP(F280,Picks!$A$2:$B$231,2,0),"")</f>
        <v/>
      </c>
      <c r="I280" s="4"/>
      <c r="J280" s="4"/>
      <c r="K280" s="4"/>
      <c r="L280" s="4"/>
      <c r="M280" s="2" t="s">
        <v>621</v>
      </c>
      <c r="N280" s="2">
        <v>72</v>
      </c>
      <c r="O280" s="4"/>
      <c r="P280" s="4"/>
      <c r="Q280" s="4"/>
      <c r="R280" s="4"/>
      <c r="U280" s="2" t="s">
        <v>655</v>
      </c>
      <c r="V280" s="2">
        <v>222</v>
      </c>
      <c r="W280" s="4"/>
      <c r="X280" s="4"/>
      <c r="Y280" s="4"/>
      <c r="Z280" s="4"/>
    </row>
    <row r="281" spans="1:28" x14ac:dyDescent="0.2">
      <c r="A281" s="2">
        <v>107172</v>
      </c>
      <c r="C281" s="2" t="s">
        <v>375</v>
      </c>
      <c r="D281" s="2" t="s">
        <v>118</v>
      </c>
      <c r="E281" s="2" t="s">
        <v>29</v>
      </c>
      <c r="G281" s="2" t="str">
        <f>IFERROR(VLOOKUP(F281,Picks!$A$2:$B$231,2,0),"")</f>
        <v/>
      </c>
      <c r="I281" s="4"/>
      <c r="J281" s="4"/>
      <c r="K281" s="4"/>
      <c r="L281" s="4"/>
      <c r="M281" s="2" t="s">
        <v>621</v>
      </c>
      <c r="N281" s="2">
        <v>70</v>
      </c>
      <c r="O281" s="4"/>
      <c r="P281" s="4"/>
      <c r="Q281" s="4"/>
      <c r="R281" s="4"/>
      <c r="U281" s="2" t="s">
        <v>655</v>
      </c>
      <c r="V281" s="2">
        <v>224</v>
      </c>
      <c r="W281" s="4"/>
      <c r="X281" s="4"/>
      <c r="Y281" s="4"/>
      <c r="Z281" s="4"/>
    </row>
    <row r="282" spans="1:28" x14ac:dyDescent="0.2">
      <c r="A282" s="2">
        <v>98224</v>
      </c>
      <c r="C282" s="2" t="s">
        <v>266</v>
      </c>
      <c r="D282" s="2" t="s">
        <v>118</v>
      </c>
      <c r="E282" s="2" t="s">
        <v>29</v>
      </c>
      <c r="G282" s="2" t="str">
        <f>IFERROR(VLOOKUP(F282,Picks!$A$2:$B$231,2,0),"")</f>
        <v/>
      </c>
      <c r="I282" s="4"/>
      <c r="J282" s="4"/>
      <c r="K282" s="4"/>
      <c r="L282" s="4"/>
      <c r="M282" s="2" t="s">
        <v>621</v>
      </c>
      <c r="N282" s="2">
        <v>67</v>
      </c>
      <c r="O282" s="4"/>
      <c r="P282" s="4"/>
      <c r="Q282" s="4"/>
      <c r="R282" s="4"/>
      <c r="U282" s="2" t="s">
        <v>655</v>
      </c>
      <c r="V282" s="2">
        <v>225</v>
      </c>
      <c r="W282" s="4"/>
      <c r="X282" s="4"/>
      <c r="Y282" s="4"/>
      <c r="Z282" s="4"/>
    </row>
    <row r="283" spans="1:28" x14ac:dyDescent="0.2">
      <c r="A283" s="2">
        <v>102911</v>
      </c>
      <c r="C283" s="2" t="s">
        <v>318</v>
      </c>
      <c r="D283" s="2" t="s">
        <v>118</v>
      </c>
      <c r="E283" s="2" t="s">
        <v>29</v>
      </c>
      <c r="G283" s="2" t="str">
        <f>IFERROR(VLOOKUP(F283,Picks!$A$2:$B$231,2,0),"")</f>
        <v/>
      </c>
      <c r="I283" s="4"/>
      <c r="J283" s="4"/>
      <c r="K283" s="4"/>
      <c r="L283" s="4"/>
      <c r="M283" s="2" t="s">
        <v>621</v>
      </c>
      <c r="N283" s="2">
        <v>68</v>
      </c>
      <c r="O283" s="4"/>
      <c r="P283" s="4"/>
      <c r="Q283" s="4"/>
      <c r="R283" s="4"/>
      <c r="U283" s="2" t="s">
        <v>655</v>
      </c>
      <c r="V283" s="2">
        <v>226</v>
      </c>
      <c r="W283" s="4"/>
      <c r="X283" s="4"/>
      <c r="Y283" s="4"/>
      <c r="Z283" s="4"/>
    </row>
    <row r="284" spans="1:28" x14ac:dyDescent="0.2">
      <c r="A284" s="2">
        <v>87225</v>
      </c>
      <c r="C284" s="2" t="s">
        <v>164</v>
      </c>
      <c r="D284" s="2" t="s">
        <v>77</v>
      </c>
      <c r="E284" s="2" t="s">
        <v>53</v>
      </c>
      <c r="G284" s="2" t="str">
        <f>IFERROR(VLOOKUP(F284,Picks!$A$2:$B$231,2,0),"")</f>
        <v/>
      </c>
      <c r="H284" s="2">
        <v>31</v>
      </c>
      <c r="I284" s="4">
        <v>0.81578947368421051</v>
      </c>
      <c r="J284" s="4">
        <v>3.18</v>
      </c>
      <c r="K284" s="4">
        <v>2.59421052631579</v>
      </c>
      <c r="L284" s="4">
        <v>1.3226824386716609</v>
      </c>
      <c r="M284" s="2" t="s">
        <v>655</v>
      </c>
      <c r="N284" s="2">
        <v>41</v>
      </c>
      <c r="O284" s="4">
        <v>-2.8855533082519109</v>
      </c>
      <c r="P284" s="4">
        <v>-3.0543461201552269</v>
      </c>
      <c r="Q284" s="4">
        <v>-4.2261229965323706</v>
      </c>
      <c r="R284" s="4">
        <v>-1.296680805589512</v>
      </c>
      <c r="S284" s="2">
        <v>-1.6769999999999989</v>
      </c>
      <c r="T284" s="2">
        <v>-0.71939463805911164</v>
      </c>
      <c r="U284" s="2" t="s">
        <v>657</v>
      </c>
      <c r="V284" s="2">
        <v>230</v>
      </c>
      <c r="W284" s="4">
        <v>-1.1637498448742341</v>
      </c>
      <c r="X284" s="4">
        <v>-1.231824348334843</v>
      </c>
      <c r="Y284" s="4">
        <v>-1.555552984786694</v>
      </c>
      <c r="Z284" s="4">
        <v>-0.74623139365706737</v>
      </c>
      <c r="AA284" s="2">
        <v>-1.7205500000000009</v>
      </c>
      <c r="AB284" s="2">
        <v>-0.80748638115566118</v>
      </c>
    </row>
    <row r="285" spans="1:28" x14ac:dyDescent="0.2">
      <c r="A285" s="2">
        <v>72951</v>
      </c>
      <c r="C285" s="2" t="s">
        <v>94</v>
      </c>
      <c r="D285" s="2" t="s">
        <v>58</v>
      </c>
      <c r="E285" s="2" t="s">
        <v>53</v>
      </c>
      <c r="G285" s="2" t="str">
        <f>IFERROR(VLOOKUP(F285,Picks!$A$2:$B$231,2,0),"")</f>
        <v/>
      </c>
      <c r="H285" s="2">
        <v>13</v>
      </c>
      <c r="I285" s="4">
        <v>0.34210526315789469</v>
      </c>
      <c r="J285" s="4">
        <v>3.37</v>
      </c>
      <c r="K285" s="4">
        <v>1.152894736842105</v>
      </c>
      <c r="L285" s="4">
        <v>1.496864147463012</v>
      </c>
      <c r="M285" s="2" t="s">
        <v>657</v>
      </c>
      <c r="N285" s="2">
        <v>42</v>
      </c>
      <c r="O285" s="4">
        <v>-3.0549977455692479</v>
      </c>
      <c r="P285" s="4">
        <v>-3.8062266993977518</v>
      </c>
      <c r="Q285" s="4">
        <v>-3.7473135932281658</v>
      </c>
      <c r="R285" s="4">
        <v>-3.8945963586521311</v>
      </c>
      <c r="S285" s="2">
        <v>-1.486999999999999</v>
      </c>
      <c r="T285" s="2">
        <v>-2.1607104275327962</v>
      </c>
      <c r="U285" s="2" t="s">
        <v>657</v>
      </c>
      <c r="V285" s="2">
        <v>232</v>
      </c>
      <c r="W285" s="4">
        <v>-1.3336112111609471</v>
      </c>
      <c r="X285" s="4">
        <v>-1.6615483942333109</v>
      </c>
      <c r="Y285" s="4">
        <v>-1.383773572907079</v>
      </c>
      <c r="Z285" s="4">
        <v>-2.0782106262226581</v>
      </c>
      <c r="AA285" s="2">
        <v>-1.530550000000001</v>
      </c>
      <c r="AB285" s="2">
        <v>-2.2488021706293448</v>
      </c>
    </row>
    <row r="286" spans="1:28" x14ac:dyDescent="0.2">
      <c r="A286" s="2">
        <v>84847</v>
      </c>
      <c r="C286" s="2" t="s">
        <v>149</v>
      </c>
      <c r="D286" s="2" t="s">
        <v>50</v>
      </c>
      <c r="E286" s="2" t="s">
        <v>53</v>
      </c>
      <c r="G286" s="2" t="str">
        <f>IFERROR(VLOOKUP(F286,Picks!$A$2:$B$231,2,0),"")</f>
        <v/>
      </c>
      <c r="H286" s="2">
        <v>24</v>
      </c>
      <c r="I286" s="4">
        <v>0.63157894736842102</v>
      </c>
      <c r="J286" s="4">
        <v>2.97</v>
      </c>
      <c r="K286" s="4">
        <v>1.87578947368421</v>
      </c>
      <c r="L286" s="4">
        <v>1.049581404063227</v>
      </c>
      <c r="M286" s="2" t="s">
        <v>623</v>
      </c>
      <c r="N286" s="2">
        <v>46</v>
      </c>
      <c r="O286" s="4">
        <v>-3.459912751476697</v>
      </c>
      <c r="P286" s="4">
        <v>-3.8898427383465828</v>
      </c>
      <c r="Q286" s="4">
        <v>-4.7553333896580696</v>
      </c>
      <c r="R286" s="4">
        <v>-2.5916067613793521</v>
      </c>
      <c r="S286" s="2">
        <v>-1.8869999999999989</v>
      </c>
      <c r="T286" s="2">
        <v>-1.4378156906906909</v>
      </c>
      <c r="U286" s="2" t="s">
        <v>657</v>
      </c>
      <c r="V286" s="2">
        <v>235</v>
      </c>
      <c r="W286" s="4">
        <v>-1.433218024317612</v>
      </c>
      <c r="X286" s="4">
        <v>-1.6113102048541199</v>
      </c>
      <c r="Y286" s="4">
        <v>-1.7454144400220579</v>
      </c>
      <c r="Z286" s="4">
        <v>-1.410153852102213</v>
      </c>
      <c r="AA286" s="2">
        <v>-1.9305500000000011</v>
      </c>
      <c r="AB286" s="2">
        <v>-1.52590743378724</v>
      </c>
    </row>
    <row r="287" spans="1:28" x14ac:dyDescent="0.2">
      <c r="A287" s="2">
        <v>86485</v>
      </c>
      <c r="C287" s="2" t="s">
        <v>158</v>
      </c>
      <c r="D287" s="2" t="s">
        <v>39</v>
      </c>
      <c r="E287" s="2" t="s">
        <v>27</v>
      </c>
      <c r="G287" s="2" t="str">
        <f>IFERROR(VLOOKUP(F287,Picks!$A$2:$B$231,2,0),"")</f>
        <v/>
      </c>
      <c r="H287" s="2">
        <v>16</v>
      </c>
      <c r="I287" s="4">
        <v>0.42105263157894729</v>
      </c>
      <c r="J287" s="4">
        <v>2.62</v>
      </c>
      <c r="K287" s="4">
        <v>1.1031578947368419</v>
      </c>
      <c r="L287" s="4">
        <v>0.70163758866821557</v>
      </c>
      <c r="M287" s="2" t="s">
        <v>623</v>
      </c>
      <c r="N287" s="2">
        <v>61</v>
      </c>
      <c r="O287" s="4">
        <v>-2.1436592367426019</v>
      </c>
      <c r="P287" s="4">
        <v>-2.594237292873212</v>
      </c>
      <c r="Q287" s="4">
        <v>-2.3446227340435208</v>
      </c>
      <c r="R287" s="4">
        <v>-2.968659131117751</v>
      </c>
      <c r="S287" s="2">
        <v>-3.051333333333333</v>
      </c>
      <c r="T287" s="2">
        <v>-3.2557746159178129</v>
      </c>
      <c r="U287" s="2" t="s">
        <v>657</v>
      </c>
      <c r="V287" s="2">
        <v>237</v>
      </c>
      <c r="W287" s="4">
        <v>-1.724339192706837</v>
      </c>
      <c r="X287" s="4">
        <v>-2.0867799147407591</v>
      </c>
      <c r="Y287" s="4">
        <v>-2.0618501987476652</v>
      </c>
      <c r="Z287" s="4">
        <v>-2.1241744887303988</v>
      </c>
      <c r="AA287" s="2">
        <v>-2.2805500000000012</v>
      </c>
      <c r="AB287" s="2">
        <v>-2.2985390127346088</v>
      </c>
    </row>
    <row r="288" spans="1:28" x14ac:dyDescent="0.2">
      <c r="A288" s="2">
        <v>70944</v>
      </c>
      <c r="C288" s="2" t="s">
        <v>79</v>
      </c>
      <c r="D288" s="2" t="s">
        <v>58</v>
      </c>
      <c r="E288" s="2" t="s">
        <v>29</v>
      </c>
      <c r="G288" s="2" t="str">
        <f>IFERROR(VLOOKUP(F288,Picks!$A$2:$B$231,2,0),"")</f>
        <v/>
      </c>
      <c r="H288" s="2">
        <v>28</v>
      </c>
      <c r="I288" s="4">
        <v>0.73684210526315785</v>
      </c>
      <c r="J288" s="4">
        <v>2.41</v>
      </c>
      <c r="K288" s="4">
        <v>1.775789473684211</v>
      </c>
      <c r="L288" s="4">
        <v>0.85175582186759868</v>
      </c>
      <c r="M288" s="2" t="s">
        <v>655</v>
      </c>
      <c r="N288" s="2">
        <v>74</v>
      </c>
      <c r="O288" s="4">
        <v>-1.67948615418882</v>
      </c>
      <c r="P288" s="4">
        <v>-1.8234421102621481</v>
      </c>
      <c r="Q288" s="4">
        <v>-1.982021780295615</v>
      </c>
      <c r="R288" s="4">
        <v>-1.5855726052119461</v>
      </c>
      <c r="S288" s="2">
        <v>-2.4673333333333329</v>
      </c>
      <c r="T288" s="2">
        <v>-1.821830731403673</v>
      </c>
      <c r="U288" s="2" t="s">
        <v>657</v>
      </c>
      <c r="V288" s="2">
        <v>239</v>
      </c>
      <c r="W288" s="4">
        <v>-1.797944638800095</v>
      </c>
      <c r="X288" s="4">
        <v>-1.9520541792686741</v>
      </c>
      <c r="Y288" s="4">
        <v>-2.2517116539830289</v>
      </c>
      <c r="Z288" s="4">
        <v>-1.5025679671971419</v>
      </c>
      <c r="AA288" s="2">
        <v>-2.4905500000000012</v>
      </c>
      <c r="AB288" s="2">
        <v>-1.6259074337872399</v>
      </c>
    </row>
    <row r="289" spans="1:28" x14ac:dyDescent="0.2">
      <c r="A289" s="2">
        <v>90588</v>
      </c>
      <c r="C289" s="2" t="s">
        <v>195</v>
      </c>
      <c r="D289" s="2" t="s">
        <v>33</v>
      </c>
      <c r="E289" s="2" t="s">
        <v>29</v>
      </c>
      <c r="G289" s="2" t="str">
        <f>IFERROR(VLOOKUP(F289,Picks!$A$2:$B$231,2,0),"")</f>
        <v/>
      </c>
      <c r="H289" s="2">
        <v>26</v>
      </c>
      <c r="I289" s="4">
        <v>0.68421052631578949</v>
      </c>
      <c r="J289" s="4">
        <v>2.3199999999999998</v>
      </c>
      <c r="K289" s="4">
        <v>1.587368421052632</v>
      </c>
      <c r="L289" s="4">
        <v>0.94193125811883804</v>
      </c>
      <c r="M289" s="2" t="s">
        <v>655</v>
      </c>
      <c r="N289" s="2">
        <v>76</v>
      </c>
      <c r="O289" s="4">
        <v>-1.749344203170391</v>
      </c>
      <c r="P289" s="4">
        <v>-1.9324151081533389</v>
      </c>
      <c r="Q289" s="4">
        <v>-2.054319251341254</v>
      </c>
      <c r="R289" s="4">
        <v>-1.749558893371465</v>
      </c>
      <c r="S289" s="2">
        <v>-2.5573333333333341</v>
      </c>
      <c r="T289" s="2">
        <v>-2.0102517840352521</v>
      </c>
      <c r="U289" s="2" t="s">
        <v>657</v>
      </c>
      <c r="V289" s="2">
        <v>241</v>
      </c>
      <c r="W289" s="4">
        <v>-1.874371589375964</v>
      </c>
      <c r="X289" s="4">
        <v>-2.0705267557060059</v>
      </c>
      <c r="Y289" s="4">
        <v>-2.3330808490838999</v>
      </c>
      <c r="Z289" s="4">
        <v>-1.676695615639165</v>
      </c>
      <c r="AA289" s="2">
        <v>-2.580550000000001</v>
      </c>
      <c r="AB289" s="2">
        <v>-1.8143284864188189</v>
      </c>
    </row>
    <row r="290" spans="1:28" x14ac:dyDescent="0.2">
      <c r="A290" s="2">
        <v>104693</v>
      </c>
      <c r="C290" s="2" t="s">
        <v>340</v>
      </c>
      <c r="D290" s="2" t="s">
        <v>61</v>
      </c>
      <c r="E290" s="2" t="s">
        <v>29</v>
      </c>
      <c r="G290" s="2" t="str">
        <f>IFERROR(VLOOKUP(F290,Picks!$A$2:$B$231,2,0),"")</f>
        <v/>
      </c>
      <c r="H290" s="2">
        <v>23</v>
      </c>
      <c r="I290" s="4">
        <v>0.60526315789473684</v>
      </c>
      <c r="J290" s="4">
        <v>2.14</v>
      </c>
      <c r="K290" s="4">
        <v>1.2952631578947369</v>
      </c>
      <c r="L290" s="4">
        <v>1.3563149021514169</v>
      </c>
      <c r="M290" s="2" t="s">
        <v>623</v>
      </c>
      <c r="N290" s="2">
        <v>85</v>
      </c>
      <c r="O290" s="4">
        <v>-1.8697071965176231</v>
      </c>
      <c r="P290" s="4">
        <v>-2.120861894557303</v>
      </c>
      <c r="Q290" s="4">
        <v>-2.1989141934325311</v>
      </c>
      <c r="R290" s="4">
        <v>-2.0037834462444621</v>
      </c>
      <c r="S290" s="2">
        <v>-2.737333333333333</v>
      </c>
      <c r="T290" s="2">
        <v>-2.302357047193146</v>
      </c>
      <c r="U290" s="2" t="s">
        <v>657</v>
      </c>
      <c r="V290" s="2">
        <v>245</v>
      </c>
      <c r="W290" s="4">
        <v>-2.0066044994750909</v>
      </c>
      <c r="X290" s="4">
        <v>-2.2761483874642821</v>
      </c>
      <c r="Y290" s="4">
        <v>-2.4958192392856402</v>
      </c>
      <c r="Z290" s="4">
        <v>-1.9466421097322459</v>
      </c>
      <c r="AA290" s="2">
        <v>-2.7605500000000012</v>
      </c>
      <c r="AB290" s="2">
        <v>-2.106433749576714</v>
      </c>
    </row>
    <row r="291" spans="1:28" x14ac:dyDescent="0.2">
      <c r="A291" s="2">
        <v>105903</v>
      </c>
      <c r="C291" s="2" t="s">
        <v>361</v>
      </c>
      <c r="D291" s="2" t="s">
        <v>41</v>
      </c>
      <c r="E291" s="2" t="s">
        <v>29</v>
      </c>
      <c r="G291" s="2" t="str">
        <f>IFERROR(VLOOKUP(F291,Picks!$A$2:$B$231,2,0),"")</f>
        <v/>
      </c>
      <c r="H291" s="2">
        <v>28</v>
      </c>
      <c r="I291" s="4">
        <v>0.73684210526315785</v>
      </c>
      <c r="J291" s="4">
        <v>2.0299999999999998</v>
      </c>
      <c r="K291" s="4">
        <v>1.4957894736842099</v>
      </c>
      <c r="L291" s="4">
        <v>0.4553378687084384</v>
      </c>
      <c r="M291" s="2" t="s">
        <v>657</v>
      </c>
      <c r="N291" s="2">
        <v>81</v>
      </c>
      <c r="O291" s="4">
        <v>-1.9379604557513599</v>
      </c>
      <c r="P291" s="4">
        <v>-2.1040713519586189</v>
      </c>
      <c r="Q291" s="4">
        <v>-2.2872777691549779</v>
      </c>
      <c r="R291" s="4">
        <v>-1.8292617261640809</v>
      </c>
      <c r="S291" s="2">
        <v>-2.8473333333333342</v>
      </c>
      <c r="T291" s="2">
        <v>-2.1018307314036728</v>
      </c>
      <c r="U291" s="2" t="s">
        <v>657</v>
      </c>
      <c r="V291" s="2">
        <v>247</v>
      </c>
      <c r="W291" s="4">
        <v>-2.08313854960707</v>
      </c>
      <c r="X291" s="4">
        <v>-2.2616932824305329</v>
      </c>
      <c r="Y291" s="4">
        <v>-2.5952704777422602</v>
      </c>
      <c r="Z291" s="4">
        <v>-1.761327489462942</v>
      </c>
      <c r="AA291" s="2">
        <v>-2.870550000000001</v>
      </c>
      <c r="AB291" s="2">
        <v>-1.9059074337872399</v>
      </c>
    </row>
    <row r="292" spans="1:28" x14ac:dyDescent="0.2">
      <c r="A292" s="2">
        <v>78478</v>
      </c>
      <c r="C292" s="2" t="s">
        <v>107</v>
      </c>
      <c r="D292" s="2" t="s">
        <v>50</v>
      </c>
      <c r="E292" s="2" t="s">
        <v>29</v>
      </c>
      <c r="G292" s="2" t="str">
        <f>IFERROR(VLOOKUP(F292,Picks!$A$2:$B$231,2,0),"")</f>
        <v/>
      </c>
      <c r="H292" s="2">
        <v>12</v>
      </c>
      <c r="I292" s="4">
        <v>0.46153846153846162</v>
      </c>
      <c r="J292" s="4">
        <v>2</v>
      </c>
      <c r="K292" s="4">
        <v>0.92307692307692313</v>
      </c>
      <c r="L292" s="4">
        <v>1.042037132071302</v>
      </c>
      <c r="M292" s="2" t="s">
        <v>657</v>
      </c>
      <c r="N292" s="2">
        <v>82</v>
      </c>
      <c r="O292" s="4">
        <v>-1.943476480508959</v>
      </c>
      <c r="P292" s="4">
        <v>-2.317907729047382</v>
      </c>
      <c r="Q292" s="4">
        <v>-2.3113769261701909</v>
      </c>
      <c r="R292" s="4">
        <v>-2.3277039333631691</v>
      </c>
      <c r="S292" s="2">
        <v>-2.877333333333334</v>
      </c>
      <c r="T292" s="2">
        <v>-2.6745432820109598</v>
      </c>
      <c r="U292" s="2" t="s">
        <v>657</v>
      </c>
      <c r="V292" s="2">
        <v>248</v>
      </c>
      <c r="W292" s="4">
        <v>-2.08749590549102</v>
      </c>
      <c r="X292" s="4">
        <v>-2.4896740157232351</v>
      </c>
      <c r="Y292" s="4">
        <v>-2.6223935427758831</v>
      </c>
      <c r="Z292" s="4">
        <v>-2.290594725144262</v>
      </c>
      <c r="AA292" s="2">
        <v>-2.9005500000000008</v>
      </c>
      <c r="AB292" s="2">
        <v>-2.4786199843945278</v>
      </c>
    </row>
    <row r="293" spans="1:28" x14ac:dyDescent="0.2">
      <c r="A293" s="2">
        <v>79701</v>
      </c>
      <c r="C293" s="2" t="s">
        <v>114</v>
      </c>
      <c r="D293" s="2" t="s">
        <v>35</v>
      </c>
      <c r="E293" s="2" t="s">
        <v>29</v>
      </c>
      <c r="G293" s="2" t="str">
        <f>IFERROR(VLOOKUP(F293,Picks!$A$2:$B$231,2,0),"")</f>
        <v/>
      </c>
      <c r="H293" s="2">
        <v>34</v>
      </c>
      <c r="I293" s="4">
        <v>0.89473684210526316</v>
      </c>
      <c r="J293" s="4">
        <v>1.92</v>
      </c>
      <c r="K293" s="4">
        <v>1.7178947368421049</v>
      </c>
      <c r="L293" s="4">
        <v>0.80438503055604271</v>
      </c>
      <c r="M293" s="2" t="s">
        <v>623</v>
      </c>
      <c r="N293" s="2">
        <v>88</v>
      </c>
      <c r="O293" s="4">
        <v>-2.0140916855484781</v>
      </c>
      <c r="P293" s="4">
        <v>-2.0797685883381019</v>
      </c>
      <c r="Q293" s="4">
        <v>-2.3756413448774252</v>
      </c>
      <c r="R293" s="4">
        <v>-1.6359594535291171</v>
      </c>
      <c r="S293" s="2">
        <v>-2.957333333333334</v>
      </c>
      <c r="T293" s="2">
        <v>-1.879725468245778</v>
      </c>
      <c r="U293" s="2" t="s">
        <v>657</v>
      </c>
      <c r="V293" s="2">
        <v>251</v>
      </c>
      <c r="W293" s="4">
        <v>-2.1685478628277299</v>
      </c>
      <c r="X293" s="4">
        <v>-2.2392613800938519</v>
      </c>
      <c r="Y293" s="4">
        <v>-2.6947217161988788</v>
      </c>
      <c r="Z293" s="4">
        <v>-1.5560708759363111</v>
      </c>
      <c r="AA293" s="2">
        <v>-2.9805500000000009</v>
      </c>
      <c r="AB293" s="2">
        <v>-1.683802170629346</v>
      </c>
    </row>
    <row r="294" spans="1:28" x14ac:dyDescent="0.2">
      <c r="A294" s="2">
        <v>111760</v>
      </c>
      <c r="C294" s="2" t="s">
        <v>423</v>
      </c>
      <c r="D294" s="2" t="s">
        <v>77</v>
      </c>
      <c r="E294" s="2" t="s">
        <v>29</v>
      </c>
      <c r="G294" s="2" t="str">
        <f>IFERROR(VLOOKUP(F294,Picks!$A$2:$B$231,2,0),"")</f>
        <v/>
      </c>
      <c r="H294" s="2">
        <v>27</v>
      </c>
      <c r="I294" s="4">
        <v>0.71052631578947367</v>
      </c>
      <c r="J294" s="4">
        <v>1.88</v>
      </c>
      <c r="K294" s="4">
        <v>1.33578947368421</v>
      </c>
      <c r="L294" s="4">
        <v>0.39063694931936732</v>
      </c>
      <c r="M294" s="2" t="s">
        <v>657</v>
      </c>
      <c r="N294" s="2">
        <v>86</v>
      </c>
      <c r="O294" s="4">
        <v>-2.0382316056503642</v>
      </c>
      <c r="P294" s="4">
        <v>-2.2320691935076029</v>
      </c>
      <c r="Q294" s="4">
        <v>-2.407773554231043</v>
      </c>
      <c r="R294" s="4">
        <v>-1.968512652422443</v>
      </c>
      <c r="S294" s="2">
        <v>-2.9973333333333341</v>
      </c>
      <c r="T294" s="2">
        <v>-2.261830731403673</v>
      </c>
      <c r="U294" s="2" t="s">
        <v>657</v>
      </c>
      <c r="V294" s="2">
        <v>253</v>
      </c>
      <c r="W294" s="4">
        <v>-2.1935947536412592</v>
      </c>
      <c r="X294" s="4">
        <v>-2.4022075111921568</v>
      </c>
      <c r="Y294" s="4">
        <v>-2.7308858029103771</v>
      </c>
      <c r="Z294" s="4">
        <v>-1.909190073614828</v>
      </c>
      <c r="AA294" s="2">
        <v>-3.020550000000001</v>
      </c>
      <c r="AB294" s="2">
        <v>-2.0659074337872401</v>
      </c>
    </row>
    <row r="295" spans="1:28" x14ac:dyDescent="0.2">
      <c r="A295" s="2">
        <v>109966</v>
      </c>
      <c r="C295" s="2" t="s">
        <v>404</v>
      </c>
      <c r="D295" s="2" t="s">
        <v>31</v>
      </c>
      <c r="E295" s="2" t="s">
        <v>29</v>
      </c>
      <c r="G295" s="2" t="str">
        <f>IFERROR(VLOOKUP(F295,Picks!$A$2:$B$231,2,0),"")</f>
        <v/>
      </c>
      <c r="I295" s="4"/>
      <c r="J295" s="4"/>
      <c r="K295" s="4"/>
      <c r="L295" s="4"/>
      <c r="M295" s="2" t="s">
        <v>655</v>
      </c>
      <c r="N295" s="2">
        <v>79</v>
      </c>
      <c r="O295" s="4"/>
      <c r="P295" s="4"/>
      <c r="Q295" s="4"/>
      <c r="R295" s="4"/>
      <c r="U295" s="2" t="s">
        <v>657</v>
      </c>
      <c r="V295" s="2">
        <v>254</v>
      </c>
      <c r="W295" s="4"/>
      <c r="X295" s="4"/>
      <c r="Y295" s="4"/>
      <c r="Z295" s="4"/>
    </row>
    <row r="296" spans="1:28" x14ac:dyDescent="0.2">
      <c r="A296" s="2">
        <v>110715</v>
      </c>
      <c r="C296" s="2" t="s">
        <v>411</v>
      </c>
      <c r="D296" s="2" t="s">
        <v>77</v>
      </c>
      <c r="E296" s="2" t="s">
        <v>37</v>
      </c>
      <c r="G296" s="2" t="str">
        <f>IFERROR(VLOOKUP(F296,Picks!$A$2:$B$231,2,0),"")</f>
        <v/>
      </c>
      <c r="H296" s="2">
        <v>26</v>
      </c>
      <c r="I296" s="4">
        <v>0.68421052631578949</v>
      </c>
      <c r="J296" s="4">
        <v>3.51</v>
      </c>
      <c r="K296" s="4">
        <v>2.4015789473684208</v>
      </c>
      <c r="L296" s="4">
        <v>1.1114335315354389</v>
      </c>
      <c r="M296" s="2" t="s">
        <v>623</v>
      </c>
      <c r="N296" s="2">
        <v>45</v>
      </c>
      <c r="O296" s="4">
        <v>-2.6503574478404559</v>
      </c>
      <c r="P296" s="4">
        <v>-2.9277204365679448</v>
      </c>
      <c r="Q296" s="4">
        <v>-3.1786484752355921</v>
      </c>
      <c r="R296" s="4">
        <v>-2.5513283785664749</v>
      </c>
      <c r="S296" s="2">
        <v>-2.827500000000001</v>
      </c>
      <c r="T296" s="2">
        <v>-2.3240141700404862</v>
      </c>
      <c r="U296" s="2" t="s">
        <v>623</v>
      </c>
      <c r="V296" s="2">
        <v>255</v>
      </c>
      <c r="W296" s="4">
        <v>-1.017533556841909</v>
      </c>
      <c r="X296" s="4">
        <v>-1.124019626743969</v>
      </c>
      <c r="Y296" s="4">
        <v>-1.257199269416837</v>
      </c>
      <c r="Z296" s="4">
        <v>-0.92425016273466709</v>
      </c>
      <c r="AA296" s="2">
        <v>-1.3905500000000011</v>
      </c>
      <c r="AB296" s="2">
        <v>-1.0001179601030299</v>
      </c>
    </row>
    <row r="297" spans="1:28" x14ac:dyDescent="0.2">
      <c r="A297" s="2">
        <v>77656</v>
      </c>
      <c r="C297" s="2" t="s">
        <v>100</v>
      </c>
      <c r="D297" s="2" t="s">
        <v>52</v>
      </c>
      <c r="E297" s="2" t="s">
        <v>37</v>
      </c>
      <c r="G297" s="2" t="str">
        <f>IFERROR(VLOOKUP(F297,Picks!$A$2:$B$231,2,0),"")</f>
        <v/>
      </c>
      <c r="H297" s="2">
        <v>25</v>
      </c>
      <c r="I297" s="4">
        <v>0.65789473684210531</v>
      </c>
      <c r="J297" s="4">
        <v>3.25</v>
      </c>
      <c r="K297" s="4">
        <v>2.138157894736842</v>
      </c>
      <c r="L297" s="4">
        <v>1.2231252092008591</v>
      </c>
      <c r="M297" s="2" t="s">
        <v>623</v>
      </c>
      <c r="N297" s="2">
        <v>41</v>
      </c>
      <c r="O297" s="4">
        <v>-2.888421439791379</v>
      </c>
      <c r="P297" s="4">
        <v>-3.218768759884822</v>
      </c>
      <c r="Q297" s="4">
        <v>-3.4709379901997841</v>
      </c>
      <c r="R297" s="4">
        <v>-2.840514914412378</v>
      </c>
      <c r="S297" s="2">
        <v>-3.0874999999999999</v>
      </c>
      <c r="T297" s="2">
        <v>-2.5874352226720641</v>
      </c>
      <c r="U297" s="2" t="s">
        <v>623</v>
      </c>
      <c r="V297" s="2">
        <v>257</v>
      </c>
      <c r="W297" s="4">
        <v>-1.222606018050046</v>
      </c>
      <c r="X297" s="4">
        <v>-1.362434858824098</v>
      </c>
      <c r="Y297" s="4">
        <v>-1.492265833041573</v>
      </c>
      <c r="Z297" s="4">
        <v>-1.167688397497886</v>
      </c>
      <c r="AA297" s="2">
        <v>-1.6505500000000011</v>
      </c>
      <c r="AB297" s="2">
        <v>-1.263539012734608</v>
      </c>
    </row>
    <row r="298" spans="1:28" x14ac:dyDescent="0.2">
      <c r="A298" s="2">
        <v>68822</v>
      </c>
      <c r="C298" s="2" t="s">
        <v>62</v>
      </c>
      <c r="D298" s="2" t="s">
        <v>63</v>
      </c>
      <c r="E298" s="2" t="s">
        <v>24</v>
      </c>
      <c r="G298" s="2" t="str">
        <f>IFERROR(VLOOKUP(F298,Picks!$A$2:$B$231,2,0),"")</f>
        <v/>
      </c>
      <c r="I298" s="4"/>
      <c r="J298" s="4"/>
      <c r="K298" s="4"/>
      <c r="L298" s="4"/>
      <c r="M298" s="2" t="s">
        <v>623</v>
      </c>
      <c r="N298" s="2">
        <v>21</v>
      </c>
      <c r="O298" s="4"/>
      <c r="P298" s="4"/>
      <c r="Q298" s="4"/>
      <c r="R298" s="4"/>
      <c r="U298" s="2" t="s">
        <v>623</v>
      </c>
      <c r="V298" s="2">
        <v>259</v>
      </c>
      <c r="W298" s="4"/>
      <c r="X298" s="4"/>
      <c r="Y298" s="4"/>
      <c r="Z298" s="4"/>
    </row>
    <row r="299" spans="1:28" x14ac:dyDescent="0.2">
      <c r="A299" s="2">
        <v>105114</v>
      </c>
      <c r="C299" s="2" t="s">
        <v>347</v>
      </c>
      <c r="D299" s="2" t="s">
        <v>50</v>
      </c>
      <c r="E299" s="2" t="s">
        <v>53</v>
      </c>
      <c r="G299" s="2" t="str">
        <f>IFERROR(VLOOKUP(F299,Picks!$A$2:$B$231,2,0),"")</f>
        <v/>
      </c>
      <c r="H299" s="2">
        <v>5</v>
      </c>
      <c r="I299" s="4">
        <v>0.3125</v>
      </c>
      <c r="J299" s="4">
        <v>2.96</v>
      </c>
      <c r="K299" s="4">
        <v>0.92500000000000004</v>
      </c>
      <c r="L299" s="4">
        <v>1.3442941146440639</v>
      </c>
      <c r="M299" s="2" t="s">
        <v>623</v>
      </c>
      <c r="N299" s="2">
        <v>47</v>
      </c>
      <c r="O299" s="4">
        <v>-3.6436835207474729</v>
      </c>
      <c r="P299" s="4">
        <v>-4.5904674277133521</v>
      </c>
      <c r="Q299" s="4">
        <v>-4.7805338845688166</v>
      </c>
      <c r="R299" s="4">
        <v>-4.3053677424301542</v>
      </c>
      <c r="S299" s="2">
        <v>-1.8969999999999989</v>
      </c>
      <c r="T299" s="2">
        <v>-2.3886051643749009</v>
      </c>
      <c r="U299" s="2" t="s">
        <v>623</v>
      </c>
      <c r="V299" s="2">
        <v>260</v>
      </c>
      <c r="W299" s="4">
        <v>-1.5622589796074611</v>
      </c>
      <c r="X299" s="4">
        <v>-1.9682002892692421</v>
      </c>
      <c r="Y299" s="4">
        <v>-1.754455461699933</v>
      </c>
      <c r="Z299" s="4">
        <v>-2.2888175306232061</v>
      </c>
      <c r="AA299" s="2">
        <v>-1.9405500000000011</v>
      </c>
      <c r="AB299" s="2">
        <v>-2.47669690747145</v>
      </c>
    </row>
    <row r="300" spans="1:28" x14ac:dyDescent="0.2">
      <c r="A300" s="2">
        <v>70666</v>
      </c>
      <c r="C300" s="2" t="s">
        <v>626</v>
      </c>
      <c r="D300" s="2" t="s">
        <v>118</v>
      </c>
      <c r="E300" s="2" t="s">
        <v>53</v>
      </c>
      <c r="G300" s="2" t="str">
        <f>IFERROR(VLOOKUP(F300,Picks!$A$2:$B$231,2,0),"")</f>
        <v/>
      </c>
      <c r="I300" s="4"/>
      <c r="J300" s="4"/>
      <c r="K300" s="4"/>
      <c r="L300" s="4"/>
      <c r="M300" s="2" t="s">
        <v>623</v>
      </c>
      <c r="N300" s="2">
        <v>56</v>
      </c>
      <c r="O300" s="4"/>
      <c r="P300" s="4"/>
      <c r="Q300" s="4"/>
      <c r="R300" s="4"/>
      <c r="U300" s="2" t="s">
        <v>623</v>
      </c>
      <c r="V300" s="2">
        <v>263</v>
      </c>
      <c r="W300" s="4"/>
      <c r="X300" s="4"/>
      <c r="Y300" s="4"/>
      <c r="Z300" s="4"/>
    </row>
    <row r="301" spans="1:28" x14ac:dyDescent="0.2">
      <c r="A301" s="2">
        <v>97432</v>
      </c>
      <c r="C301" s="2" t="s">
        <v>251</v>
      </c>
      <c r="D301" s="2" t="s">
        <v>63</v>
      </c>
      <c r="E301" s="2" t="s">
        <v>53</v>
      </c>
      <c r="G301" s="2" t="str">
        <f>IFERROR(VLOOKUP(F301,Picks!$A$2:$B$231,2,0),"")</f>
        <v/>
      </c>
      <c r="I301" s="4"/>
      <c r="J301" s="4"/>
      <c r="K301" s="4"/>
      <c r="L301" s="4"/>
      <c r="M301" s="2" t="s">
        <v>623</v>
      </c>
      <c r="N301" s="2">
        <v>49</v>
      </c>
      <c r="O301" s="4"/>
      <c r="P301" s="4"/>
      <c r="Q301" s="4"/>
      <c r="R301" s="4"/>
      <c r="U301" s="2" t="s">
        <v>623</v>
      </c>
      <c r="V301" s="2">
        <v>264</v>
      </c>
      <c r="W301" s="4"/>
      <c r="X301" s="4"/>
      <c r="Y301" s="4"/>
      <c r="Z301" s="4"/>
    </row>
    <row r="302" spans="1:28" x14ac:dyDescent="0.2">
      <c r="A302" s="2">
        <v>101393</v>
      </c>
      <c r="C302" s="2" t="s">
        <v>299</v>
      </c>
      <c r="D302" s="2" t="s">
        <v>63</v>
      </c>
      <c r="E302" s="2" t="s">
        <v>53</v>
      </c>
      <c r="G302" s="2" t="str">
        <f>IFERROR(VLOOKUP(F302,Picks!$A$2:$B$231,2,0),"")</f>
        <v/>
      </c>
      <c r="I302" s="4"/>
      <c r="J302" s="4"/>
      <c r="K302" s="4"/>
      <c r="L302" s="4"/>
      <c r="M302" s="2" t="s">
        <v>623</v>
      </c>
      <c r="N302" s="2">
        <v>50</v>
      </c>
      <c r="O302" s="4"/>
      <c r="P302" s="4"/>
      <c r="Q302" s="4"/>
      <c r="R302" s="4"/>
      <c r="U302" s="2" t="s">
        <v>623</v>
      </c>
      <c r="V302" s="2">
        <v>265</v>
      </c>
      <c r="W302" s="4"/>
      <c r="X302" s="4"/>
      <c r="Y302" s="4"/>
      <c r="Z302" s="4"/>
    </row>
    <row r="303" spans="1:28" x14ac:dyDescent="0.2">
      <c r="A303" s="2">
        <v>107453</v>
      </c>
      <c r="C303" s="2" t="s">
        <v>154</v>
      </c>
      <c r="D303" s="2" t="s">
        <v>63</v>
      </c>
      <c r="E303" s="2" t="s">
        <v>53</v>
      </c>
      <c r="G303" s="2" t="str">
        <f>IFERROR(VLOOKUP(F303,Picks!$A$2:$B$231,2,0),"")</f>
        <v/>
      </c>
      <c r="I303" s="4"/>
      <c r="J303" s="4"/>
      <c r="K303" s="4"/>
      <c r="L303" s="4"/>
      <c r="M303" s="2" t="s">
        <v>623</v>
      </c>
      <c r="N303" s="2">
        <v>51</v>
      </c>
      <c r="O303" s="4"/>
      <c r="P303" s="4"/>
      <c r="Q303" s="4"/>
      <c r="R303" s="4"/>
      <c r="U303" s="2" t="s">
        <v>623</v>
      </c>
      <c r="V303" s="2">
        <v>266</v>
      </c>
      <c r="W303" s="4"/>
      <c r="X303" s="4"/>
      <c r="Y303" s="4"/>
      <c r="Z303" s="4"/>
    </row>
    <row r="304" spans="1:28" x14ac:dyDescent="0.2">
      <c r="A304" s="2">
        <v>112367</v>
      </c>
      <c r="C304" s="2" t="s">
        <v>432</v>
      </c>
      <c r="D304" s="2" t="s">
        <v>118</v>
      </c>
      <c r="E304" s="2" t="s">
        <v>53</v>
      </c>
      <c r="G304" s="2" t="str">
        <f>IFERROR(VLOOKUP(F304,Picks!$A$2:$B$231,2,0),"")</f>
        <v/>
      </c>
      <c r="I304" s="4"/>
      <c r="J304" s="4"/>
      <c r="K304" s="4"/>
      <c r="L304" s="4"/>
      <c r="M304" s="2" t="s">
        <v>623</v>
      </c>
      <c r="N304" s="2">
        <v>52</v>
      </c>
      <c r="O304" s="4"/>
      <c r="P304" s="4"/>
      <c r="Q304" s="4"/>
      <c r="R304" s="4"/>
      <c r="U304" s="2" t="s">
        <v>623</v>
      </c>
      <c r="V304" s="2">
        <v>267</v>
      </c>
      <c r="W304" s="4"/>
      <c r="X304" s="4"/>
      <c r="Y304" s="4"/>
      <c r="Z304" s="4"/>
    </row>
    <row r="305" spans="1:28" x14ac:dyDescent="0.2">
      <c r="A305" s="2">
        <v>122441</v>
      </c>
      <c r="C305" s="2" t="s">
        <v>489</v>
      </c>
      <c r="D305" s="2" t="s">
        <v>118</v>
      </c>
      <c r="E305" s="2" t="s">
        <v>53</v>
      </c>
      <c r="G305" s="2" t="str">
        <f>IFERROR(VLOOKUP(F305,Picks!$A$2:$B$231,2,0),"")</f>
        <v/>
      </c>
      <c r="I305" s="4"/>
      <c r="J305" s="4"/>
      <c r="K305" s="4"/>
      <c r="L305" s="4"/>
      <c r="M305" s="2" t="s">
        <v>623</v>
      </c>
      <c r="N305" s="2">
        <v>53</v>
      </c>
      <c r="O305" s="4"/>
      <c r="P305" s="4"/>
      <c r="Q305" s="4"/>
      <c r="R305" s="4"/>
      <c r="U305" s="2" t="s">
        <v>623</v>
      </c>
      <c r="V305" s="2">
        <v>268</v>
      </c>
      <c r="W305" s="4"/>
      <c r="X305" s="4"/>
      <c r="Y305" s="4"/>
      <c r="Z305" s="4"/>
    </row>
    <row r="306" spans="1:28" x14ac:dyDescent="0.2">
      <c r="A306" s="2">
        <v>145782</v>
      </c>
      <c r="C306" s="2" t="s">
        <v>608</v>
      </c>
      <c r="D306" s="2" t="s">
        <v>118</v>
      </c>
      <c r="E306" s="2" t="s">
        <v>53</v>
      </c>
      <c r="G306" s="2" t="str">
        <f>IFERROR(VLOOKUP(F306,Picks!$A$2:$B$231,2,0),"")</f>
        <v/>
      </c>
      <c r="I306" s="4"/>
      <c r="J306" s="4"/>
      <c r="K306" s="4"/>
      <c r="L306" s="4"/>
      <c r="M306" s="2" t="s">
        <v>623</v>
      </c>
      <c r="N306" s="2">
        <v>54</v>
      </c>
      <c r="O306" s="4"/>
      <c r="P306" s="4"/>
      <c r="Q306" s="4"/>
      <c r="R306" s="4"/>
      <c r="U306" s="2" t="s">
        <v>623</v>
      </c>
      <c r="V306" s="2">
        <v>269</v>
      </c>
      <c r="W306" s="4"/>
      <c r="X306" s="4"/>
      <c r="Y306" s="4"/>
      <c r="Z306" s="4"/>
    </row>
    <row r="307" spans="1:28" x14ac:dyDescent="0.2">
      <c r="A307" s="2">
        <v>147287</v>
      </c>
      <c r="C307" s="2" t="s">
        <v>614</v>
      </c>
      <c r="D307" s="2" t="s">
        <v>35</v>
      </c>
      <c r="E307" s="2" t="s">
        <v>53</v>
      </c>
      <c r="G307" s="2" t="str">
        <f>IFERROR(VLOOKUP(F307,Picks!$A$2:$B$231,2,0),"")</f>
        <v/>
      </c>
      <c r="I307" s="4"/>
      <c r="J307" s="4"/>
      <c r="K307" s="4"/>
      <c r="L307" s="4"/>
      <c r="M307" s="2" t="s">
        <v>623</v>
      </c>
      <c r="N307" s="2">
        <v>55</v>
      </c>
      <c r="O307" s="4"/>
      <c r="P307" s="4"/>
      <c r="Q307" s="4"/>
      <c r="R307" s="4"/>
      <c r="U307" s="2" t="s">
        <v>623</v>
      </c>
      <c r="V307" s="2">
        <v>270</v>
      </c>
      <c r="W307" s="4"/>
      <c r="X307" s="4"/>
      <c r="Y307" s="4"/>
      <c r="Z307" s="4"/>
    </row>
    <row r="308" spans="1:28" x14ac:dyDescent="0.2">
      <c r="A308" s="2">
        <v>100342</v>
      </c>
      <c r="C308" s="2" t="s">
        <v>627</v>
      </c>
      <c r="D308" s="2" t="s">
        <v>118</v>
      </c>
      <c r="E308" s="2" t="s">
        <v>53</v>
      </c>
      <c r="G308" s="2" t="str">
        <f>IFERROR(VLOOKUP(F308,Picks!$A$2:$B$231,2,0),"")</f>
        <v/>
      </c>
      <c r="I308" s="4"/>
      <c r="J308" s="4"/>
      <c r="K308" s="4"/>
      <c r="L308" s="4"/>
      <c r="M308" s="2" t="s">
        <v>623</v>
      </c>
      <c r="N308" s="2">
        <v>57</v>
      </c>
      <c r="O308" s="4"/>
      <c r="P308" s="4"/>
      <c r="Q308" s="4"/>
      <c r="R308" s="4"/>
      <c r="U308" s="2" t="s">
        <v>623</v>
      </c>
      <c r="V308" s="2">
        <v>271</v>
      </c>
      <c r="W308" s="4"/>
      <c r="X308" s="4"/>
      <c r="Y308" s="4"/>
      <c r="Z308" s="4"/>
    </row>
    <row r="309" spans="1:28" x14ac:dyDescent="0.2">
      <c r="A309" s="2">
        <v>83251</v>
      </c>
      <c r="C309" s="2" t="s">
        <v>136</v>
      </c>
      <c r="D309" s="2" t="s">
        <v>58</v>
      </c>
      <c r="E309" s="2" t="s">
        <v>37</v>
      </c>
      <c r="G309" s="2" t="str">
        <f>IFERROR(VLOOKUP(F309,Picks!$A$2:$B$231,2,0),"")</f>
        <v/>
      </c>
      <c r="H309" s="2">
        <v>10</v>
      </c>
      <c r="I309" s="4">
        <v>0.37037037037037029</v>
      </c>
      <c r="J309" s="4">
        <v>1.96</v>
      </c>
      <c r="K309" s="4">
        <v>0.72592592592592586</v>
      </c>
      <c r="L309" s="4">
        <v>1.056694167724306</v>
      </c>
      <c r="M309" s="2" t="s">
        <v>623</v>
      </c>
      <c r="N309" s="2">
        <v>46</v>
      </c>
      <c r="O309" s="4">
        <v>-3.8195527948805719</v>
      </c>
      <c r="P309" s="4">
        <v>-4.7090376923185131</v>
      </c>
      <c r="Q309" s="4">
        <v>-4.9211436605990464</v>
      </c>
      <c r="R309" s="4">
        <v>-4.3908787398977136</v>
      </c>
      <c r="S309" s="2">
        <v>-4.3775000000000004</v>
      </c>
      <c r="T309" s="2">
        <v>-3.9996671914829811</v>
      </c>
      <c r="U309" s="2" t="s">
        <v>623</v>
      </c>
      <c r="V309" s="2">
        <v>272</v>
      </c>
      <c r="W309" s="4">
        <v>-2.0961143816529231</v>
      </c>
      <c r="X309" s="4">
        <v>-2.5842506075173031</v>
      </c>
      <c r="Y309" s="4">
        <v>-2.6585576294873809</v>
      </c>
      <c r="Z309" s="4">
        <v>-2.4727900745621851</v>
      </c>
      <c r="AA309" s="2">
        <v>-2.9405500000000009</v>
      </c>
      <c r="AB309" s="2">
        <v>-2.6757709815455248</v>
      </c>
    </row>
    <row r="310" spans="1:28" x14ac:dyDescent="0.2">
      <c r="A310" s="2">
        <v>96831</v>
      </c>
      <c r="C310" s="2" t="s">
        <v>246</v>
      </c>
      <c r="D310" s="2" t="s">
        <v>118</v>
      </c>
      <c r="E310" s="2" t="s">
        <v>27</v>
      </c>
      <c r="G310" s="2" t="str">
        <f>IFERROR(VLOOKUP(F310,Picks!$A$2:$B$231,2,0),"")</f>
        <v/>
      </c>
      <c r="I310" s="4"/>
      <c r="J310" s="4"/>
      <c r="K310" s="4"/>
      <c r="L310" s="4"/>
      <c r="M310" s="2" t="s">
        <v>656</v>
      </c>
      <c r="N310" s="2">
        <v>67</v>
      </c>
      <c r="O310" s="4"/>
      <c r="P310" s="4"/>
      <c r="Q310" s="4"/>
      <c r="R310" s="4"/>
      <c r="U310" s="2" t="s">
        <v>623</v>
      </c>
      <c r="V310" s="2">
        <v>274</v>
      </c>
      <c r="W310" s="4"/>
      <c r="X310" s="4"/>
      <c r="Y310" s="4"/>
      <c r="Z310" s="4"/>
    </row>
    <row r="311" spans="1:28" x14ac:dyDescent="0.2">
      <c r="A311" s="2">
        <v>95332</v>
      </c>
      <c r="C311" s="2" t="s">
        <v>233</v>
      </c>
      <c r="D311" s="2" t="s">
        <v>63</v>
      </c>
      <c r="E311" s="2" t="s">
        <v>27</v>
      </c>
      <c r="G311" s="2" t="str">
        <f>IFERROR(VLOOKUP(F311,Picks!$A$2:$B$231,2,0),"")</f>
        <v/>
      </c>
      <c r="I311" s="4"/>
      <c r="J311" s="4"/>
      <c r="K311" s="4"/>
      <c r="L311" s="4"/>
      <c r="M311" s="2" t="s">
        <v>623</v>
      </c>
      <c r="N311" s="2">
        <v>63</v>
      </c>
      <c r="O311" s="4"/>
      <c r="P311" s="4"/>
      <c r="Q311" s="4"/>
      <c r="R311" s="4"/>
      <c r="U311" s="2" t="s">
        <v>623</v>
      </c>
      <c r="V311" s="2">
        <v>275</v>
      </c>
      <c r="W311" s="4"/>
      <c r="X311" s="4"/>
      <c r="Y311" s="4"/>
      <c r="Z311" s="4"/>
    </row>
    <row r="312" spans="1:28" x14ac:dyDescent="0.2">
      <c r="A312" s="2">
        <v>123625</v>
      </c>
      <c r="C312" s="2" t="s">
        <v>503</v>
      </c>
      <c r="D312" s="2" t="s">
        <v>63</v>
      </c>
      <c r="E312" s="2" t="s">
        <v>27</v>
      </c>
      <c r="G312" s="2" t="str">
        <f>IFERROR(VLOOKUP(F312,Picks!$A$2:$B$231,2,0),"")</f>
        <v/>
      </c>
      <c r="I312" s="4"/>
      <c r="J312" s="4"/>
      <c r="K312" s="4"/>
      <c r="L312" s="4"/>
      <c r="M312" s="2" t="s">
        <v>623</v>
      </c>
      <c r="N312" s="2">
        <v>64</v>
      </c>
      <c r="O312" s="4"/>
      <c r="P312" s="4"/>
      <c r="Q312" s="4"/>
      <c r="R312" s="4"/>
      <c r="U312" s="2" t="s">
        <v>623</v>
      </c>
      <c r="V312" s="2">
        <v>276</v>
      </c>
      <c r="W312" s="4"/>
      <c r="X312" s="4"/>
      <c r="Y312" s="4"/>
      <c r="Z312" s="4"/>
    </row>
    <row r="313" spans="1:28" x14ac:dyDescent="0.2">
      <c r="A313" s="2">
        <v>130619</v>
      </c>
      <c r="C313" s="2" t="s">
        <v>542</v>
      </c>
      <c r="D313" s="2" t="s">
        <v>63</v>
      </c>
      <c r="E313" s="2" t="s">
        <v>27</v>
      </c>
      <c r="G313" s="2" t="str">
        <f>IFERROR(VLOOKUP(F313,Picks!$A$2:$B$231,2,0),"")</f>
        <v/>
      </c>
      <c r="I313" s="4"/>
      <c r="J313" s="4"/>
      <c r="K313" s="4"/>
      <c r="L313" s="4"/>
      <c r="M313" s="2" t="s">
        <v>656</v>
      </c>
      <c r="N313" s="2">
        <v>68</v>
      </c>
      <c r="O313" s="4"/>
      <c r="P313" s="4"/>
      <c r="Q313" s="4"/>
      <c r="R313" s="4"/>
      <c r="U313" s="2" t="s">
        <v>623</v>
      </c>
      <c r="V313" s="2">
        <v>277</v>
      </c>
      <c r="W313" s="4"/>
      <c r="X313" s="4"/>
      <c r="Y313" s="4"/>
      <c r="Z313" s="4"/>
    </row>
    <row r="314" spans="1:28" x14ac:dyDescent="0.2">
      <c r="A314" s="2">
        <v>110311</v>
      </c>
      <c r="C314" s="2" t="s">
        <v>405</v>
      </c>
      <c r="D314" s="2" t="s">
        <v>99</v>
      </c>
      <c r="E314" s="2" t="s">
        <v>29</v>
      </c>
      <c r="G314" s="2" t="str">
        <f>IFERROR(VLOOKUP(F314,Picks!$A$2:$B$231,2,0),"")</f>
        <v/>
      </c>
      <c r="H314" s="2">
        <v>24</v>
      </c>
      <c r="I314" s="4">
        <v>0.63157894736842102</v>
      </c>
      <c r="J314" s="4">
        <v>1.89</v>
      </c>
      <c r="K314" s="4">
        <v>1.1936842105263159</v>
      </c>
      <c r="L314" s="4">
        <v>0.83826719600130595</v>
      </c>
      <c r="M314" s="2" t="s">
        <v>623</v>
      </c>
      <c r="N314" s="2">
        <v>89</v>
      </c>
      <c r="O314" s="4">
        <v>-2.025082602727692</v>
      </c>
      <c r="P314" s="4">
        <v>-2.2767200859068728</v>
      </c>
      <c r="Q314" s="4">
        <v>-2.399740501892639</v>
      </c>
      <c r="R314" s="4">
        <v>-2.0921894619282262</v>
      </c>
      <c r="S314" s="2">
        <v>-2.9873333333333338</v>
      </c>
      <c r="T314" s="2">
        <v>-2.403935994561567</v>
      </c>
      <c r="U314" s="2" t="s">
        <v>623</v>
      </c>
      <c r="V314" s="2">
        <v>278</v>
      </c>
      <c r="W314" s="4">
        <v>-2.178599481702129</v>
      </c>
      <c r="X314" s="4">
        <v>-2.4493130267657079</v>
      </c>
      <c r="Y314" s="4">
        <v>-2.7218447812325031</v>
      </c>
      <c r="Z314" s="4">
        <v>-2.0405153950655159</v>
      </c>
      <c r="AA314" s="2">
        <v>-3.0105500000000012</v>
      </c>
      <c r="AB314" s="2">
        <v>-2.208012696945135</v>
      </c>
    </row>
    <row r="315" spans="1:28" x14ac:dyDescent="0.2">
      <c r="A315" s="2">
        <v>71123</v>
      </c>
      <c r="C315" s="2" t="s">
        <v>82</v>
      </c>
      <c r="D315" s="2" t="s">
        <v>67</v>
      </c>
      <c r="E315" s="2" t="s">
        <v>29</v>
      </c>
      <c r="G315" s="2" t="str">
        <f>IFERROR(VLOOKUP(F315,Picks!$A$2:$B$231,2,0),"")</f>
        <v/>
      </c>
      <c r="I315" s="4"/>
      <c r="J315" s="4"/>
      <c r="K315" s="4"/>
      <c r="L315" s="4"/>
      <c r="M315" s="2" t="s">
        <v>623</v>
      </c>
      <c r="N315" s="2">
        <v>93</v>
      </c>
      <c r="O315" s="4"/>
      <c r="P315" s="4"/>
      <c r="Q315" s="4"/>
      <c r="R315" s="4"/>
      <c r="U315" s="2" t="s">
        <v>623</v>
      </c>
      <c r="V315" s="2">
        <v>279</v>
      </c>
      <c r="W315" s="4"/>
      <c r="X315" s="4"/>
      <c r="Y315" s="4"/>
      <c r="Z315" s="4"/>
    </row>
    <row r="316" spans="1:28" x14ac:dyDescent="0.2">
      <c r="A316" s="2">
        <v>92981</v>
      </c>
      <c r="C316" s="2" t="s">
        <v>202</v>
      </c>
      <c r="D316" s="2" t="s">
        <v>58</v>
      </c>
      <c r="E316" s="2" t="s">
        <v>29</v>
      </c>
      <c r="G316" s="2" t="str">
        <f>IFERROR(VLOOKUP(F316,Picks!$A$2:$B$231,2,0),"")</f>
        <v/>
      </c>
      <c r="H316" s="2">
        <v>15</v>
      </c>
      <c r="I316" s="4">
        <v>0.39473684210526322</v>
      </c>
      <c r="J316" s="4">
        <v>1.78</v>
      </c>
      <c r="K316" s="4">
        <v>0.7026315789473685</v>
      </c>
      <c r="L316" s="4">
        <v>0.40842731715657249</v>
      </c>
      <c r="M316" s="2" t="s">
        <v>623</v>
      </c>
      <c r="N316" s="2">
        <v>90</v>
      </c>
      <c r="O316" s="4">
        <v>-2.0466149407046692</v>
      </c>
      <c r="P316" s="4">
        <v>-2.500687065812778</v>
      </c>
      <c r="Q316" s="4">
        <v>-2.4881040776150849</v>
      </c>
      <c r="R316" s="4">
        <v>-2.5195615481093179</v>
      </c>
      <c r="S316" s="2">
        <v>-3.0973333333333328</v>
      </c>
      <c r="T316" s="2">
        <v>-2.8949886261405151</v>
      </c>
      <c r="U316" s="2" t="s">
        <v>623</v>
      </c>
      <c r="V316" s="2">
        <v>280</v>
      </c>
      <c r="W316" s="4">
        <v>-2.2019655638662412</v>
      </c>
      <c r="X316" s="4">
        <v>-2.6905045474892968</v>
      </c>
      <c r="Y316" s="4">
        <v>-2.8212960196891221</v>
      </c>
      <c r="Z316" s="4">
        <v>-2.494317339189561</v>
      </c>
      <c r="AA316" s="2">
        <v>-3.120550000000001</v>
      </c>
      <c r="AB316" s="2">
        <v>-2.6990653285240822</v>
      </c>
    </row>
    <row r="317" spans="1:28" x14ac:dyDescent="0.2">
      <c r="A317" s="2">
        <v>89883</v>
      </c>
      <c r="C317" s="2" t="s">
        <v>188</v>
      </c>
      <c r="D317" s="2" t="s">
        <v>31</v>
      </c>
      <c r="E317" s="2" t="s">
        <v>29</v>
      </c>
      <c r="G317" s="2" t="str">
        <f>IFERROR(VLOOKUP(F317,Picks!$A$2:$B$231,2,0),"")</f>
        <v/>
      </c>
      <c r="H317" s="2">
        <v>29</v>
      </c>
      <c r="I317" s="4">
        <v>0.76315789473684215</v>
      </c>
      <c r="J317" s="4">
        <v>1.77</v>
      </c>
      <c r="K317" s="4">
        <v>1.350789473684211</v>
      </c>
      <c r="L317" s="4">
        <v>0.75019788759684292</v>
      </c>
      <c r="M317" s="2" t="s">
        <v>623</v>
      </c>
      <c r="N317" s="2">
        <v>91</v>
      </c>
      <c r="O317" s="4">
        <v>-2.1178749908154031</v>
      </c>
      <c r="P317" s="4">
        <v>-2.279865429206382</v>
      </c>
      <c r="Q317" s="4">
        <v>-2.4961371299534889</v>
      </c>
      <c r="R317" s="4">
        <v>-1.9554578780857219</v>
      </c>
      <c r="S317" s="2">
        <v>-3.1073333333333339</v>
      </c>
      <c r="T317" s="2">
        <v>-2.2468307314036728</v>
      </c>
      <c r="U317" s="2" t="s">
        <v>623</v>
      </c>
      <c r="V317" s="2">
        <v>281</v>
      </c>
      <c r="W317" s="4">
        <v>-2.2818044547321921</v>
      </c>
      <c r="X317" s="4">
        <v>-2.4563334073604328</v>
      </c>
      <c r="Y317" s="4">
        <v>-2.8303370413669962</v>
      </c>
      <c r="Z317" s="4">
        <v>-1.8953279563505889</v>
      </c>
      <c r="AA317" s="2">
        <v>-3.1305500000000008</v>
      </c>
      <c r="AB317" s="2">
        <v>-2.0509074337872399</v>
      </c>
    </row>
    <row r="318" spans="1:28" x14ac:dyDescent="0.2">
      <c r="A318" s="2">
        <v>70958</v>
      </c>
      <c r="C318" s="2" t="s">
        <v>80</v>
      </c>
      <c r="D318" s="2" t="s">
        <v>63</v>
      </c>
      <c r="E318" s="2" t="s">
        <v>29</v>
      </c>
      <c r="G318" s="2" t="str">
        <f>IFERROR(VLOOKUP(F318,Picks!$A$2:$B$231,2,0),"")</f>
        <v/>
      </c>
      <c r="I318" s="4"/>
      <c r="J318" s="4"/>
      <c r="K318" s="4"/>
      <c r="L318" s="4"/>
      <c r="M318" s="2" t="s">
        <v>623</v>
      </c>
      <c r="N318" s="2">
        <v>92</v>
      </c>
      <c r="O318" s="4"/>
      <c r="P318" s="4"/>
      <c r="Q318" s="4"/>
      <c r="R318" s="4"/>
      <c r="U318" s="2" t="s">
        <v>623</v>
      </c>
      <c r="V318" s="2">
        <v>282</v>
      </c>
      <c r="W318" s="4"/>
      <c r="X318" s="4"/>
      <c r="Y318" s="4"/>
      <c r="Z318" s="4"/>
    </row>
    <row r="319" spans="1:28" x14ac:dyDescent="0.2">
      <c r="A319" s="2">
        <v>111945</v>
      </c>
      <c r="C319" s="2" t="s">
        <v>429</v>
      </c>
      <c r="D319" s="2" t="s">
        <v>118</v>
      </c>
      <c r="E319" s="2" t="s">
        <v>29</v>
      </c>
      <c r="G319" s="2" t="str">
        <f>IFERROR(VLOOKUP(F319,Picks!$A$2:$B$231,2,0),"")</f>
        <v/>
      </c>
      <c r="I319" s="4"/>
      <c r="J319" s="4"/>
      <c r="K319" s="4"/>
      <c r="L319" s="4"/>
      <c r="M319" s="2" t="s">
        <v>623</v>
      </c>
      <c r="N319" s="2">
        <v>95</v>
      </c>
      <c r="O319" s="4"/>
      <c r="P319" s="4"/>
      <c r="Q319" s="4"/>
      <c r="R319" s="4"/>
      <c r="U319" s="2" t="s">
        <v>623</v>
      </c>
      <c r="V319" s="2">
        <v>283</v>
      </c>
      <c r="W319" s="4"/>
      <c r="X319" s="4"/>
      <c r="Y319" s="4"/>
      <c r="Z319" s="4"/>
    </row>
    <row r="320" spans="1:28" x14ac:dyDescent="0.2">
      <c r="A320" s="2">
        <v>104811</v>
      </c>
      <c r="C320" s="2" t="s">
        <v>343</v>
      </c>
      <c r="D320" s="2" t="s">
        <v>39</v>
      </c>
      <c r="E320" s="2" t="s">
        <v>29</v>
      </c>
      <c r="G320" s="2" t="str">
        <f>IFERROR(VLOOKUP(F320,Picks!$A$2:$B$231,2,0),"")</f>
        <v/>
      </c>
      <c r="I320" s="4"/>
      <c r="J320" s="4"/>
      <c r="K320" s="4"/>
      <c r="L320" s="4"/>
      <c r="M320" s="2" t="s">
        <v>623</v>
      </c>
      <c r="N320" s="2">
        <v>94</v>
      </c>
      <c r="O320" s="4"/>
      <c r="P320" s="4"/>
      <c r="Q320" s="4"/>
      <c r="R320" s="4"/>
      <c r="U320" s="2" t="s">
        <v>623</v>
      </c>
      <c r="V320" s="2">
        <v>284</v>
      </c>
      <c r="W320" s="4"/>
      <c r="X320" s="4"/>
      <c r="Y320" s="4"/>
      <c r="Z320" s="4"/>
    </row>
    <row r="321" spans="1:28" x14ac:dyDescent="0.2">
      <c r="A321" s="2">
        <v>122394</v>
      </c>
      <c r="C321" s="2" t="s">
        <v>486</v>
      </c>
      <c r="D321" s="2" t="s">
        <v>77</v>
      </c>
      <c r="E321" s="2" t="s">
        <v>29</v>
      </c>
      <c r="F321" s="2">
        <v>188</v>
      </c>
      <c r="G321" s="2" t="str">
        <f>IFERROR(VLOOKUP(F321,Picks!$A$2:$B$231,2,0),"")</f>
        <v>Fochesato</v>
      </c>
      <c r="H321" s="2">
        <v>14</v>
      </c>
      <c r="I321" s="4">
        <v>0.36842105263157893</v>
      </c>
      <c r="J321" s="4">
        <v>1.62</v>
      </c>
      <c r="K321" s="4">
        <v>0.59684210526315795</v>
      </c>
      <c r="L321" s="4">
        <v>0.44327349799599403</v>
      </c>
      <c r="M321" s="2" t="s">
        <v>623</v>
      </c>
      <c r="N321" s="2">
        <v>97</v>
      </c>
      <c r="O321" s="4">
        <v>-2.119228507151818</v>
      </c>
      <c r="P321" s="4">
        <v>-2.6146325737587368</v>
      </c>
      <c r="Q321" s="4">
        <v>-2.616632915029554</v>
      </c>
      <c r="R321" s="4">
        <v>-2.6116320618525122</v>
      </c>
      <c r="S321" s="2">
        <v>-3.257333333333333</v>
      </c>
      <c r="T321" s="2">
        <v>-3.0007780998247249</v>
      </c>
      <c r="U321" s="2" t="s">
        <v>623</v>
      </c>
      <c r="V321" s="2">
        <v>285</v>
      </c>
      <c r="W321" s="4">
        <v>-2.2827696535242228</v>
      </c>
      <c r="X321" s="4">
        <v>-2.816404117984431</v>
      </c>
      <c r="Y321" s="4">
        <v>-2.9659523665351131</v>
      </c>
      <c r="Z321" s="4">
        <v>-2.5920817451584059</v>
      </c>
      <c r="AA321" s="2">
        <v>-3.2805500000000012</v>
      </c>
      <c r="AB321" s="2">
        <v>-2.8048548022082929</v>
      </c>
    </row>
    <row r="322" spans="1:28" x14ac:dyDescent="0.2">
      <c r="A322" s="2">
        <v>141868</v>
      </c>
      <c r="C322" s="2" t="s">
        <v>583</v>
      </c>
      <c r="D322" s="2" t="s">
        <v>50</v>
      </c>
      <c r="E322" s="2" t="s">
        <v>37</v>
      </c>
      <c r="G322" s="2" t="str">
        <f>IFERROR(VLOOKUP(F322,Picks!$A$2:$B$231,2,0),"")</f>
        <v/>
      </c>
      <c r="I322" s="4"/>
      <c r="J322" s="4"/>
      <c r="K322" s="4"/>
      <c r="L322" s="4"/>
      <c r="M322" s="2" t="s">
        <v>623</v>
      </c>
      <c r="N322" s="2">
        <v>47</v>
      </c>
      <c r="O322" s="4"/>
      <c r="P322" s="4"/>
      <c r="Q322" s="4"/>
      <c r="R322" s="4"/>
      <c r="U322" s="2" t="s">
        <v>623</v>
      </c>
      <c r="V322" s="2">
        <v>286</v>
      </c>
      <c r="W322" s="4"/>
      <c r="X322" s="4"/>
      <c r="Y322" s="4"/>
      <c r="Z322" s="4"/>
    </row>
    <row r="323" spans="1:28" x14ac:dyDescent="0.2">
      <c r="A323" s="2">
        <v>104257</v>
      </c>
      <c r="C323" s="2" t="s">
        <v>336</v>
      </c>
      <c r="D323" s="2" t="s">
        <v>118</v>
      </c>
      <c r="E323" s="2" t="s">
        <v>37</v>
      </c>
      <c r="G323" s="2" t="str">
        <f>IFERROR(VLOOKUP(F323,Picks!$A$2:$B$231,2,0),"")</f>
        <v/>
      </c>
      <c r="I323" s="4"/>
      <c r="J323" s="4"/>
      <c r="K323" s="4"/>
      <c r="L323" s="4"/>
      <c r="M323" s="2" t="s">
        <v>623</v>
      </c>
      <c r="N323" s="2">
        <v>49</v>
      </c>
      <c r="O323" s="4"/>
      <c r="P323" s="4"/>
      <c r="Q323" s="4"/>
      <c r="R323" s="4"/>
      <c r="U323" s="2" t="s">
        <v>656</v>
      </c>
      <c r="V323" s="2">
        <v>288</v>
      </c>
      <c r="W323" s="4"/>
      <c r="X323" s="4"/>
      <c r="Y323" s="4"/>
      <c r="Z323" s="4"/>
    </row>
    <row r="324" spans="1:28" x14ac:dyDescent="0.2">
      <c r="A324" s="2">
        <v>111246</v>
      </c>
      <c r="C324" s="2" t="s">
        <v>415</v>
      </c>
      <c r="D324" s="2" t="s">
        <v>77</v>
      </c>
      <c r="E324" s="2" t="s">
        <v>53</v>
      </c>
      <c r="G324" s="2" t="str">
        <f>IFERROR(VLOOKUP(F324,Picks!$A$2:$B$231,2,0),"")</f>
        <v/>
      </c>
      <c r="H324" s="2">
        <v>8</v>
      </c>
      <c r="I324" s="4">
        <v>0.47058823529411759</v>
      </c>
      <c r="J324" s="4">
        <v>1.7</v>
      </c>
      <c r="K324" s="4">
        <v>0.79999999999999993</v>
      </c>
      <c r="L324" s="4">
        <v>0.7422253898997021</v>
      </c>
      <c r="M324" s="2" t="s">
        <v>656</v>
      </c>
      <c r="N324" s="2">
        <v>61</v>
      </c>
      <c r="O324" s="4">
        <v>-5.5397761703603878</v>
      </c>
      <c r="P324" s="4">
        <v>-6.5857478948340278</v>
      </c>
      <c r="Q324" s="4">
        <v>-7.9557962433230136</v>
      </c>
      <c r="R324" s="4">
        <v>-4.5306753721005473</v>
      </c>
      <c r="S324" s="2">
        <v>-3.1569999999999991</v>
      </c>
      <c r="T324" s="2">
        <v>-2.5136051643749009</v>
      </c>
      <c r="U324" s="2" t="s">
        <v>656</v>
      </c>
      <c r="V324" s="2">
        <v>292</v>
      </c>
      <c r="W324" s="4">
        <v>-2.2694172220585558</v>
      </c>
      <c r="X324" s="4">
        <v>-2.6979085856640168</v>
      </c>
      <c r="Y324" s="4">
        <v>-2.8936241931121169</v>
      </c>
      <c r="Z324" s="4">
        <v>-2.4043351744918668</v>
      </c>
      <c r="AA324" s="2">
        <v>-3.2005500000000011</v>
      </c>
      <c r="AB324" s="2">
        <v>-2.6016969074714509</v>
      </c>
    </row>
    <row r="325" spans="1:28" x14ac:dyDescent="0.2">
      <c r="A325" s="2">
        <v>120433</v>
      </c>
      <c r="C325" s="2" t="s">
        <v>478</v>
      </c>
      <c r="D325" s="2" t="s">
        <v>43</v>
      </c>
      <c r="E325" s="2" t="s">
        <v>37</v>
      </c>
      <c r="G325" s="2" t="str">
        <f>IFERROR(VLOOKUP(F325,Picks!$A$2:$B$231,2,0),"")</f>
        <v/>
      </c>
      <c r="I325" s="4"/>
      <c r="J325" s="4"/>
      <c r="K325" s="4"/>
      <c r="L325" s="4"/>
      <c r="M325" s="2" t="s">
        <v>623</v>
      </c>
      <c r="N325" s="2">
        <v>51</v>
      </c>
      <c r="O325" s="4"/>
      <c r="P325" s="4"/>
      <c r="Q325" s="4"/>
      <c r="R325" s="4"/>
      <c r="U325" s="2" t="s">
        <v>656</v>
      </c>
      <c r="V325" s="2">
        <v>293</v>
      </c>
      <c r="W325" s="4"/>
      <c r="X325" s="4"/>
      <c r="Y325" s="4"/>
      <c r="Z325" s="4"/>
    </row>
    <row r="326" spans="1:28" x14ac:dyDescent="0.2">
      <c r="A326" s="2">
        <v>104519</v>
      </c>
      <c r="C326" s="2" t="s">
        <v>338</v>
      </c>
      <c r="D326" s="2" t="s">
        <v>63</v>
      </c>
      <c r="E326" s="2" t="s">
        <v>29</v>
      </c>
      <c r="G326" s="2" t="str">
        <f>IFERROR(VLOOKUP(F326,Picks!$A$2:$B$231,2,0),"")</f>
        <v/>
      </c>
      <c r="H326" s="2">
        <v>15</v>
      </c>
      <c r="I326" s="4">
        <v>0.39473684210526322</v>
      </c>
      <c r="J326" s="4">
        <v>1.51</v>
      </c>
      <c r="K326" s="4">
        <v>0.59605263157894739</v>
      </c>
      <c r="L326" s="4">
        <v>0.36823374124794239</v>
      </c>
      <c r="M326" s="2" t="s">
        <v>656</v>
      </c>
      <c r="N326" s="2">
        <v>96</v>
      </c>
      <c r="O326" s="4">
        <v>-2.1834864423316112</v>
      </c>
      <c r="P326" s="4">
        <v>-2.667925556546662</v>
      </c>
      <c r="Q326" s="4">
        <v>-2.7049964907520012</v>
      </c>
      <c r="R326" s="4">
        <v>-2.612319155238656</v>
      </c>
      <c r="S326" s="2">
        <v>-3.3673333333333342</v>
      </c>
      <c r="T326" s="2">
        <v>-3.001567573508936</v>
      </c>
      <c r="U326" s="2" t="s">
        <v>656</v>
      </c>
      <c r="V326" s="2">
        <v>294</v>
      </c>
      <c r="W326" s="4">
        <v>-2.3540790583631259</v>
      </c>
      <c r="X326" s="4">
        <v>-2.87636669510607</v>
      </c>
      <c r="Y326" s="4">
        <v>-3.065403604991733</v>
      </c>
      <c r="Z326" s="4">
        <v>-2.592811330277577</v>
      </c>
      <c r="AA326" s="2">
        <v>-3.3905500000000011</v>
      </c>
      <c r="AB326" s="2">
        <v>-2.805644275892504</v>
      </c>
    </row>
    <row r="327" spans="1:28" x14ac:dyDescent="0.2">
      <c r="A327" s="2">
        <v>97520</v>
      </c>
      <c r="C327" s="2" t="s">
        <v>254</v>
      </c>
      <c r="D327" s="2" t="s">
        <v>41</v>
      </c>
      <c r="E327" s="2" t="s">
        <v>29</v>
      </c>
      <c r="G327" s="2" t="str">
        <f>IFERROR(VLOOKUP(F327,Picks!$A$2:$B$231,2,0),"")</f>
        <v/>
      </c>
      <c r="H327" s="2">
        <v>11</v>
      </c>
      <c r="I327" s="4">
        <v>0.6470588235294118</v>
      </c>
      <c r="J327" s="4">
        <v>1.63</v>
      </c>
      <c r="K327" s="4">
        <v>1.0547058823529409</v>
      </c>
      <c r="L327" s="4">
        <v>0.45033647551188938</v>
      </c>
      <c r="M327" s="2" t="s">
        <v>656</v>
      </c>
      <c r="N327" s="2">
        <v>98</v>
      </c>
      <c r="O327" s="4">
        <v>-2.1909618465605991</v>
      </c>
      <c r="P327" s="4">
        <v>-2.450417854705933</v>
      </c>
      <c r="Q327" s="4">
        <v>-2.60859986269115</v>
      </c>
      <c r="R327" s="4">
        <v>-2.213144842728108</v>
      </c>
      <c r="S327" s="2">
        <v>-3.2473333333333341</v>
      </c>
      <c r="T327" s="2">
        <v>-2.542914322734942</v>
      </c>
      <c r="U327" s="2" t="s">
        <v>656</v>
      </c>
      <c r="V327" s="2">
        <v>295</v>
      </c>
      <c r="W327" s="4">
        <v>-2.3620149098470389</v>
      </c>
      <c r="X327" s="4">
        <v>-2.6417272018026101</v>
      </c>
      <c r="Y327" s="4">
        <v>-2.9569113448572391</v>
      </c>
      <c r="Z327" s="4">
        <v>-2.1689509872206658</v>
      </c>
      <c r="AA327" s="2">
        <v>-3.270550000000001</v>
      </c>
      <c r="AB327" s="2">
        <v>-2.34699102511851</v>
      </c>
    </row>
    <row r="328" spans="1:28" x14ac:dyDescent="0.2">
      <c r="A328" s="2">
        <v>84428</v>
      </c>
      <c r="C328" s="2" t="s">
        <v>142</v>
      </c>
      <c r="D328" s="2" t="s">
        <v>39</v>
      </c>
      <c r="E328" s="2" t="s">
        <v>29</v>
      </c>
      <c r="G328" s="2" t="str">
        <f>IFERROR(VLOOKUP(F328,Picks!$A$2:$B$231,2,0),"")</f>
        <v/>
      </c>
      <c r="H328" s="2">
        <v>28</v>
      </c>
      <c r="I328" s="4">
        <v>0.73684210526315785</v>
      </c>
      <c r="J328" s="4">
        <v>1.64</v>
      </c>
      <c r="K328" s="4">
        <v>1.2084210526315791</v>
      </c>
      <c r="L328" s="4">
        <v>0.50757652234051798</v>
      </c>
      <c r="M328" s="2" t="s">
        <v>656</v>
      </c>
      <c r="N328" s="2">
        <v>101</v>
      </c>
      <c r="O328" s="4">
        <v>-2.203236712618176</v>
      </c>
      <c r="P328" s="4">
        <v>-2.3920855736997351</v>
      </c>
      <c r="Q328" s="4">
        <v>-2.6005668103527451</v>
      </c>
      <c r="R328" s="4">
        <v>-2.0793637187202179</v>
      </c>
      <c r="S328" s="2">
        <v>-3.2373333333333338</v>
      </c>
      <c r="T328" s="2">
        <v>-2.3891991524563041</v>
      </c>
      <c r="U328" s="2" t="s">
        <v>656</v>
      </c>
      <c r="V328" s="2">
        <v>296</v>
      </c>
      <c r="W328" s="4">
        <v>-2.3758375633300171</v>
      </c>
      <c r="X328" s="4">
        <v>-2.5794807830440192</v>
      </c>
      <c r="Y328" s="4">
        <v>-2.947870323179365</v>
      </c>
      <c r="Z328" s="4">
        <v>-2.0268964728409999</v>
      </c>
      <c r="AA328" s="2">
        <v>-3.2605500000000012</v>
      </c>
      <c r="AB328" s="2">
        <v>-2.1932758548398721</v>
      </c>
    </row>
    <row r="329" spans="1:28" x14ac:dyDescent="0.2">
      <c r="A329" s="2">
        <v>97969</v>
      </c>
      <c r="C329" s="2" t="s">
        <v>265</v>
      </c>
      <c r="D329" s="2" t="s">
        <v>63</v>
      </c>
      <c r="E329" s="2" t="s">
        <v>37</v>
      </c>
      <c r="G329" s="2" t="str">
        <f>IFERROR(VLOOKUP(F329,Picks!$A$2:$B$231,2,0),"")</f>
        <v/>
      </c>
      <c r="I329" s="4"/>
      <c r="J329" s="4"/>
      <c r="K329" s="4"/>
      <c r="L329" s="4"/>
      <c r="M329" s="2" t="s">
        <v>623</v>
      </c>
      <c r="N329" s="2">
        <v>48</v>
      </c>
      <c r="O329" s="4"/>
      <c r="P329" s="4"/>
      <c r="Q329" s="4"/>
      <c r="R329" s="4"/>
      <c r="U329" s="2" t="s">
        <v>656</v>
      </c>
      <c r="V329" s="2">
        <v>300</v>
      </c>
      <c r="W329" s="4"/>
      <c r="X329" s="4"/>
      <c r="Y329" s="4"/>
      <c r="Z329" s="4"/>
    </row>
    <row r="330" spans="1:28" x14ac:dyDescent="0.2">
      <c r="A330" s="2">
        <v>104470</v>
      </c>
      <c r="C330" s="2" t="s">
        <v>161</v>
      </c>
      <c r="D330" s="2" t="s">
        <v>63</v>
      </c>
      <c r="E330" s="2" t="s">
        <v>37</v>
      </c>
      <c r="G330" s="2" t="str">
        <f>IFERROR(VLOOKUP(F330,Picks!$A$2:$B$231,2,0),"")</f>
        <v/>
      </c>
      <c r="I330" s="4"/>
      <c r="J330" s="4"/>
      <c r="K330" s="4"/>
      <c r="L330" s="4"/>
      <c r="M330" s="2" t="s">
        <v>623</v>
      </c>
      <c r="N330" s="2">
        <v>50</v>
      </c>
      <c r="O330" s="4"/>
      <c r="P330" s="4"/>
      <c r="Q330" s="4"/>
      <c r="R330" s="4"/>
      <c r="U330" s="2" t="s">
        <v>656</v>
      </c>
      <c r="V330" s="2">
        <v>301</v>
      </c>
      <c r="W330" s="4"/>
      <c r="X330" s="4"/>
      <c r="Y330" s="4"/>
      <c r="Z330" s="4"/>
    </row>
    <row r="331" spans="1:28" x14ac:dyDescent="0.2">
      <c r="A331" s="2">
        <v>95555</v>
      </c>
      <c r="C331" s="2" t="s">
        <v>235</v>
      </c>
      <c r="D331" s="2" t="s">
        <v>118</v>
      </c>
      <c r="E331" s="2" t="s">
        <v>37</v>
      </c>
      <c r="G331" s="2" t="str">
        <f>IFERROR(VLOOKUP(F331,Picks!$A$2:$B$231,2,0),"")</f>
        <v/>
      </c>
      <c r="I331" s="4"/>
      <c r="J331" s="4"/>
      <c r="K331" s="4"/>
      <c r="L331" s="4"/>
      <c r="M331" s="2" t="s">
        <v>623</v>
      </c>
      <c r="N331" s="2">
        <v>52</v>
      </c>
      <c r="O331" s="4"/>
      <c r="P331" s="4"/>
      <c r="Q331" s="4"/>
      <c r="R331" s="4"/>
      <c r="U331" s="2" t="s">
        <v>656</v>
      </c>
      <c r="V331" s="2">
        <v>302</v>
      </c>
      <c r="W331" s="4"/>
      <c r="X331" s="4"/>
      <c r="Y331" s="4"/>
      <c r="Z331" s="4"/>
    </row>
    <row r="332" spans="1:28" x14ac:dyDescent="0.2">
      <c r="A332" s="2">
        <v>122486</v>
      </c>
      <c r="B332" s="2" t="s">
        <v>618</v>
      </c>
      <c r="C332" s="2" t="s">
        <v>491</v>
      </c>
      <c r="D332" s="2" t="s">
        <v>67</v>
      </c>
      <c r="E332" s="2" t="s">
        <v>27</v>
      </c>
      <c r="G332" s="2" t="str">
        <f>IFERROR(VLOOKUP(F332,Picks!$A$2:$B$231,2,0),"")</f>
        <v/>
      </c>
      <c r="H332" s="2">
        <v>32</v>
      </c>
      <c r="I332" s="4">
        <v>0.84210526315789469</v>
      </c>
      <c r="J332" s="4">
        <v>7.3</v>
      </c>
      <c r="K332" s="4">
        <v>6.1473684210526311</v>
      </c>
      <c r="L332" s="4">
        <v>1.695067230546909</v>
      </c>
      <c r="O332" s="4">
        <v>1.33669593227562</v>
      </c>
      <c r="P332" s="4">
        <v>1.4031614758694351</v>
      </c>
      <c r="Q332" s="4">
        <v>1.251455831170706</v>
      </c>
      <c r="R332" s="4">
        <v>1.630719942917529</v>
      </c>
      <c r="S332" s="2">
        <v>1.6286666666666669</v>
      </c>
      <c r="T332" s="2">
        <v>1.788435910397975</v>
      </c>
      <c r="W332" s="4">
        <v>2.2068320029282318</v>
      </c>
      <c r="X332" s="4">
        <v>2.316563980974387</v>
      </c>
      <c r="Y332" s="4">
        <v>2.1693479464975911</v>
      </c>
      <c r="Z332" s="4">
        <v>2.537388032689583</v>
      </c>
      <c r="AA332" s="2">
        <v>2.399449999999999</v>
      </c>
      <c r="AB332" s="2">
        <v>2.74567151358118</v>
      </c>
    </row>
    <row r="333" spans="1:28" x14ac:dyDescent="0.2">
      <c r="A333" s="2">
        <v>115248</v>
      </c>
      <c r="B333" s="2" t="s">
        <v>618</v>
      </c>
      <c r="C333" s="2" t="s">
        <v>451</v>
      </c>
      <c r="D333" s="2" t="s">
        <v>77</v>
      </c>
      <c r="E333" s="2" t="s">
        <v>29</v>
      </c>
      <c r="G333" s="2" t="str">
        <f>IFERROR(VLOOKUP(F333,Picks!$A$2:$B$231,2,0),"")</f>
        <v/>
      </c>
      <c r="H333" s="2">
        <v>31</v>
      </c>
      <c r="I333" s="4">
        <v>0.81578947368421051</v>
      </c>
      <c r="J333" s="4">
        <v>5.62</v>
      </c>
      <c r="K333" s="4">
        <v>4.5847368421052632</v>
      </c>
      <c r="L333" s="4">
        <v>0.96280395987415834</v>
      </c>
      <c r="O333" s="4">
        <v>0.6628227177400301</v>
      </c>
      <c r="P333" s="4">
        <v>0.70159507727356951</v>
      </c>
      <c r="Q333" s="4">
        <v>0.59658802033215763</v>
      </c>
      <c r="R333" s="4">
        <v>0.85910566268568722</v>
      </c>
      <c r="S333" s="2">
        <v>0.74266666666666659</v>
      </c>
      <c r="T333" s="2">
        <v>0.98711663701738006</v>
      </c>
      <c r="W333" s="4">
        <v>0.78185678252665147</v>
      </c>
      <c r="X333" s="4">
        <v>0.82759213749339156</v>
      </c>
      <c r="Y333" s="4">
        <v>0.65045630461467885</v>
      </c>
      <c r="Z333" s="4">
        <v>1.0932958868114611</v>
      </c>
      <c r="AA333" s="2">
        <v>0.71944999999999926</v>
      </c>
      <c r="AB333" s="2">
        <v>1.183039934633813</v>
      </c>
    </row>
    <row r="334" spans="1:28" x14ac:dyDescent="0.2">
      <c r="A334" s="2">
        <v>99198</v>
      </c>
      <c r="B334" s="2" t="s">
        <v>618</v>
      </c>
      <c r="C334" s="2" t="s">
        <v>277</v>
      </c>
      <c r="D334" s="2" t="s">
        <v>67</v>
      </c>
      <c r="E334" s="2" t="s">
        <v>27</v>
      </c>
      <c r="G334" s="2" t="str">
        <f>IFERROR(VLOOKUP(F334,Picks!$A$2:$B$231,2,0),"")</f>
        <v/>
      </c>
      <c r="H334" s="2">
        <v>32</v>
      </c>
      <c r="I334" s="4">
        <v>0.84210526315789469</v>
      </c>
      <c r="J334" s="4">
        <v>5.31</v>
      </c>
      <c r="K334" s="4">
        <v>4.4715789473684202</v>
      </c>
      <c r="L334" s="4">
        <v>1.839476547473641</v>
      </c>
      <c r="O334" s="4">
        <v>-0.1195576981469406</v>
      </c>
      <c r="P334" s="4">
        <v>-0.12550255606584931</v>
      </c>
      <c r="Q334" s="4">
        <v>-0.27764595190115549</v>
      </c>
      <c r="R334" s="4">
        <v>0.1027125376871101</v>
      </c>
      <c r="S334" s="2">
        <v>-0.36133333333333351</v>
      </c>
      <c r="T334" s="2">
        <v>0.11264643671376449</v>
      </c>
      <c r="W334" s="4">
        <v>0.58834487015210335</v>
      </c>
      <c r="X334" s="4">
        <v>0.61759958745248422</v>
      </c>
      <c r="Y334" s="4">
        <v>0.3701846326005695</v>
      </c>
      <c r="Z334" s="4">
        <v>0.98872201973035634</v>
      </c>
      <c r="AA334" s="2">
        <v>0.40944999999999881</v>
      </c>
      <c r="AB334" s="2">
        <v>1.0698820398969699</v>
      </c>
    </row>
    <row r="335" spans="1:28" x14ac:dyDescent="0.2">
      <c r="A335" s="2">
        <v>107554</v>
      </c>
      <c r="B335" s="2" t="s">
        <v>618</v>
      </c>
      <c r="C335" s="2" t="s">
        <v>382</v>
      </c>
      <c r="D335" s="2" t="s">
        <v>26</v>
      </c>
      <c r="E335" s="2" t="s">
        <v>37</v>
      </c>
      <c r="G335" s="2" t="str">
        <f>IFERROR(VLOOKUP(F335,Picks!$A$2:$B$231,2,0),"")</f>
        <v/>
      </c>
      <c r="H335" s="2">
        <v>30</v>
      </c>
      <c r="I335" s="4">
        <v>0.78947368421052633</v>
      </c>
      <c r="J335" s="4">
        <v>5.17</v>
      </c>
      <c r="K335" s="4">
        <v>4.0815789473684214</v>
      </c>
      <c r="L335" s="4">
        <v>1.1698083148955909</v>
      </c>
      <c r="O335" s="4">
        <v>-1.0026999947822519</v>
      </c>
      <c r="P335" s="4">
        <v>-1.070297747239483</v>
      </c>
      <c r="Q335" s="4">
        <v>-1.3124923412334411</v>
      </c>
      <c r="R335" s="4">
        <v>-0.70700585624854484</v>
      </c>
      <c r="S335" s="2">
        <v>-1.1675</v>
      </c>
      <c r="T335" s="2">
        <v>-0.64401417004048511</v>
      </c>
      <c r="W335" s="4">
        <v>0.37238441828539259</v>
      </c>
      <c r="X335" s="4">
        <v>0.39748898581025049</v>
      </c>
      <c r="Y335" s="4">
        <v>0.24361032911032701</v>
      </c>
      <c r="Z335" s="4">
        <v>0.62830697086013554</v>
      </c>
      <c r="AA335" s="2">
        <v>0.26944999999999908</v>
      </c>
      <c r="AB335" s="2">
        <v>0.67988203989697071</v>
      </c>
    </row>
    <row r="336" spans="1:28" x14ac:dyDescent="0.2">
      <c r="A336" s="2">
        <v>110510</v>
      </c>
      <c r="B336" s="2" t="s">
        <v>618</v>
      </c>
      <c r="C336" s="2" t="s">
        <v>407</v>
      </c>
      <c r="D336" s="2" t="s">
        <v>58</v>
      </c>
      <c r="E336" s="2" t="s">
        <v>37</v>
      </c>
      <c r="G336" s="2" t="str">
        <f>IFERROR(VLOOKUP(F336,Picks!$A$2:$B$231,2,0),"")</f>
        <v/>
      </c>
      <c r="H336" s="2">
        <v>30</v>
      </c>
      <c r="I336" s="4">
        <v>0.78947368421052633</v>
      </c>
      <c r="J336" s="4">
        <v>4.5999999999999996</v>
      </c>
      <c r="K336" s="4">
        <v>3.6315789473684208</v>
      </c>
      <c r="L336" s="4">
        <v>0.97173189378537717</v>
      </c>
      <c r="O336" s="4">
        <v>-1.548016219017003</v>
      </c>
      <c r="P336" s="4">
        <v>-1.652376862995677</v>
      </c>
      <c r="Q336" s="4">
        <v>-1.9532808932703249</v>
      </c>
      <c r="R336" s="4">
        <v>-1.2010208175837049</v>
      </c>
      <c r="S336" s="2">
        <v>-1.7375000000000009</v>
      </c>
      <c r="T336" s="2">
        <v>-1.094014170040486</v>
      </c>
      <c r="W336" s="4">
        <v>-7.312929772852278E-2</v>
      </c>
      <c r="X336" s="4">
        <v>-7.8059362743928815E-2</v>
      </c>
      <c r="Y336" s="4">
        <v>-0.27172790652851858</v>
      </c>
      <c r="Z336" s="4">
        <v>0.2124434529329558</v>
      </c>
      <c r="AA336" s="2">
        <v>-0.30055000000000121</v>
      </c>
      <c r="AB336" s="2">
        <v>0.22988203989697009</v>
      </c>
    </row>
    <row r="337" spans="1:28" x14ac:dyDescent="0.2">
      <c r="A337" s="2">
        <v>130811</v>
      </c>
      <c r="B337" s="2" t="s">
        <v>618</v>
      </c>
      <c r="C337" s="2" t="s">
        <v>545</v>
      </c>
      <c r="D337" s="2" t="s">
        <v>50</v>
      </c>
      <c r="E337" s="2" t="s">
        <v>37</v>
      </c>
      <c r="G337" s="2" t="str">
        <f>IFERROR(VLOOKUP(F337,Picks!$A$2:$B$231,2,0),"")</f>
        <v/>
      </c>
      <c r="H337" s="2">
        <v>23</v>
      </c>
      <c r="I337" s="4">
        <v>0.74193548387096775</v>
      </c>
      <c r="J337" s="4">
        <v>4.67</v>
      </c>
      <c r="K337" s="4">
        <v>3.4648387096774189</v>
      </c>
      <c r="L337" s="4">
        <v>3.1485760905287741</v>
      </c>
      <c r="O337" s="4">
        <v>-1.5484414318059141</v>
      </c>
      <c r="P337" s="4">
        <v>-1.67838057293648</v>
      </c>
      <c r="Q337" s="4">
        <v>-1.874587562318426</v>
      </c>
      <c r="R337" s="4">
        <v>-1.384070088863562</v>
      </c>
      <c r="S337" s="2">
        <v>-1.6675</v>
      </c>
      <c r="T337" s="2">
        <v>-1.2607544077314869</v>
      </c>
      <c r="W337" s="4">
        <v>-9.3848296260228864E-2</v>
      </c>
      <c r="X337" s="4">
        <v>-0.1017236777645837</v>
      </c>
      <c r="Y337" s="4">
        <v>-0.20844075478339699</v>
      </c>
      <c r="Z337" s="4">
        <v>5.8351937763636098E-2</v>
      </c>
      <c r="AA337" s="2">
        <v>-0.23055000000000089</v>
      </c>
      <c r="AB337" s="2">
        <v>6.3141802205968656E-2</v>
      </c>
    </row>
    <row r="338" spans="1:28" x14ac:dyDescent="0.2">
      <c r="A338" s="2">
        <v>101319</v>
      </c>
      <c r="B338" s="2" t="s">
        <v>618</v>
      </c>
      <c r="C338" s="2" t="s">
        <v>298</v>
      </c>
      <c r="D338" s="2" t="s">
        <v>23</v>
      </c>
      <c r="E338" s="2" t="s">
        <v>37</v>
      </c>
      <c r="G338" s="2" t="str">
        <f>IFERROR(VLOOKUP(F338,Picks!$A$2:$B$231,2,0),"")</f>
        <v/>
      </c>
      <c r="H338" s="2">
        <v>17</v>
      </c>
      <c r="I338" s="4">
        <v>0.44736842105263158</v>
      </c>
      <c r="J338" s="4">
        <v>5.26</v>
      </c>
      <c r="K338" s="4">
        <v>2.3531578947368419</v>
      </c>
      <c r="L338" s="4">
        <v>1.164305573290066</v>
      </c>
      <c r="O338" s="4">
        <v>-1.4753708376113559</v>
      </c>
      <c r="P338" s="4">
        <v>-1.768583338461563</v>
      </c>
      <c r="Q338" s="4">
        <v>-1.2113152014381441</v>
      </c>
      <c r="R338" s="4">
        <v>-2.6044855439966912</v>
      </c>
      <c r="S338" s="2">
        <v>-1.077500000000001</v>
      </c>
      <c r="T338" s="2">
        <v>-2.3724352226720651</v>
      </c>
      <c r="W338" s="4">
        <v>-0.16067854536995499</v>
      </c>
      <c r="X338" s="4">
        <v>-0.19261150549079781</v>
      </c>
      <c r="Y338" s="4">
        <v>0.32497952421119719</v>
      </c>
      <c r="Z338" s="4">
        <v>-0.96899805004379036</v>
      </c>
      <c r="AA338" s="2">
        <v>0.35944999999999888</v>
      </c>
      <c r="AB338" s="2">
        <v>-1.048539012734609</v>
      </c>
    </row>
    <row r="339" spans="1:28" x14ac:dyDescent="0.2">
      <c r="A339" s="2">
        <v>63008</v>
      </c>
      <c r="B339" s="2" t="s">
        <v>618</v>
      </c>
      <c r="C339" s="2" t="s">
        <v>51</v>
      </c>
      <c r="D339" s="2" t="s">
        <v>52</v>
      </c>
      <c r="E339" s="2" t="s">
        <v>53</v>
      </c>
      <c r="G339" s="2" t="str">
        <f>IFERROR(VLOOKUP(F339,Picks!$A$2:$B$231,2,0),"")</f>
        <v/>
      </c>
      <c r="H339" s="2">
        <v>7</v>
      </c>
      <c r="I339" s="4">
        <v>0.36842105263157893</v>
      </c>
      <c r="J339" s="4">
        <v>5.13</v>
      </c>
      <c r="K339" s="4">
        <v>1.89</v>
      </c>
      <c r="L339" s="4">
        <v>2.4877398794090868</v>
      </c>
      <c r="O339" s="4">
        <v>-0.49734950845486031</v>
      </c>
      <c r="P339" s="4">
        <v>-0.61361302991184052</v>
      </c>
      <c r="Q339" s="4">
        <v>0.68797351106341087</v>
      </c>
      <c r="R339" s="4">
        <v>-2.5659928413747179</v>
      </c>
      <c r="S339" s="2">
        <v>0.27300000000000058</v>
      </c>
      <c r="T339" s="2">
        <v>-1.423605164374901</v>
      </c>
      <c r="W339" s="4">
        <v>-0.35204463427214888</v>
      </c>
      <c r="X339" s="4">
        <v>-0.43434078254356029</v>
      </c>
      <c r="Y339" s="4">
        <v>0.20744624239882911</v>
      </c>
      <c r="Z339" s="4">
        <v>-1.397021319957144</v>
      </c>
      <c r="AA339" s="2">
        <v>0.22944999999999899</v>
      </c>
      <c r="AB339" s="2">
        <v>-1.511696907471451</v>
      </c>
    </row>
    <row r="340" spans="1:28" x14ac:dyDescent="0.2">
      <c r="A340" s="2">
        <v>116461</v>
      </c>
      <c r="B340" s="2" t="s">
        <v>618</v>
      </c>
      <c r="C340" s="2" t="s">
        <v>463</v>
      </c>
      <c r="D340" s="2" t="s">
        <v>33</v>
      </c>
      <c r="E340" s="2" t="s">
        <v>37</v>
      </c>
      <c r="G340" s="2" t="str">
        <f>IFERROR(VLOOKUP(F340,Picks!$A$2:$B$231,2,0),"")</f>
        <v/>
      </c>
      <c r="H340" s="2">
        <v>12</v>
      </c>
      <c r="I340" s="4">
        <v>0.31578947368421051</v>
      </c>
      <c r="J340" s="4">
        <v>5.15</v>
      </c>
      <c r="K340" s="4">
        <v>1.6263157894736839</v>
      </c>
      <c r="L340" s="4">
        <v>0.85372370697554301</v>
      </c>
      <c r="O340" s="4">
        <v>-1.7181845093096479</v>
      </c>
      <c r="P340" s="4">
        <v>-2.161954018336643</v>
      </c>
      <c r="Q340" s="4">
        <v>-1.33497615007684</v>
      </c>
      <c r="R340" s="4">
        <v>-3.4024208207263462</v>
      </c>
      <c r="S340" s="2">
        <v>-1.1875</v>
      </c>
      <c r="T340" s="2">
        <v>-3.0992773279352219</v>
      </c>
      <c r="W340" s="4">
        <v>-0.41402938629549729</v>
      </c>
      <c r="X340" s="4">
        <v>-0.52096412845128803</v>
      </c>
      <c r="Y340" s="4">
        <v>0.22552828575457851</v>
      </c>
      <c r="Z340" s="4">
        <v>-1.6407027497600879</v>
      </c>
      <c r="AA340" s="2">
        <v>0.24944999999999951</v>
      </c>
      <c r="AB340" s="2">
        <v>-1.775381117997767</v>
      </c>
    </row>
    <row r="341" spans="1:28" x14ac:dyDescent="0.2">
      <c r="A341" s="2">
        <v>104204</v>
      </c>
      <c r="B341" s="2" t="s">
        <v>618</v>
      </c>
      <c r="C341" s="2" t="s">
        <v>335</v>
      </c>
      <c r="D341" s="2" t="s">
        <v>41</v>
      </c>
      <c r="E341" s="2" t="s">
        <v>27</v>
      </c>
      <c r="G341" s="2" t="str">
        <f>IFERROR(VLOOKUP(F341,Picks!$A$2:$B$231,2,0),"")</f>
        <v/>
      </c>
      <c r="H341" s="2">
        <v>20</v>
      </c>
      <c r="I341" s="4">
        <v>0.54054054054054057</v>
      </c>
      <c r="J341" s="4">
        <v>4.54</v>
      </c>
      <c r="K341" s="4">
        <v>2.4540540540540539</v>
      </c>
      <c r="L341" s="4">
        <v>0.76367089982743441</v>
      </c>
      <c r="O341" s="4">
        <v>-1.048684566175673</v>
      </c>
      <c r="P341" s="4">
        <v>-1.2163426002664539</v>
      </c>
      <c r="Q341" s="4">
        <v>-0.86930845087870967</v>
      </c>
      <c r="R341" s="4">
        <v>-1.7368938243480709</v>
      </c>
      <c r="S341" s="2">
        <v>-1.1313333333333331</v>
      </c>
      <c r="T341" s="2">
        <v>-1.904878456600601</v>
      </c>
      <c r="W341" s="4">
        <v>-0.47064287899735541</v>
      </c>
      <c r="X341" s="4">
        <v>-0.54588672485586676</v>
      </c>
      <c r="Y341" s="4">
        <v>-0.32597403659576513</v>
      </c>
      <c r="Z341" s="4">
        <v>-0.87575575724601906</v>
      </c>
      <c r="AA341" s="2">
        <v>-0.36055000000000081</v>
      </c>
      <c r="AB341" s="2">
        <v>-0.9476428534173964</v>
      </c>
    </row>
    <row r="342" spans="1:28" x14ac:dyDescent="0.2">
      <c r="A342" s="2">
        <v>91639</v>
      </c>
      <c r="B342" s="2" t="s">
        <v>618</v>
      </c>
      <c r="C342" s="2" t="s">
        <v>206</v>
      </c>
      <c r="D342" s="2" t="s">
        <v>41</v>
      </c>
      <c r="E342" s="2" t="s">
        <v>37</v>
      </c>
      <c r="G342" s="2" t="str">
        <f>IFERROR(VLOOKUP(F342,Picks!$A$2:$B$231,2,0),"")</f>
        <v/>
      </c>
      <c r="H342" s="2">
        <v>25</v>
      </c>
      <c r="I342" s="4">
        <v>0.65789473684210531</v>
      </c>
      <c r="J342" s="4">
        <v>4.26</v>
      </c>
      <c r="K342" s="4">
        <v>2.802631578947369</v>
      </c>
      <c r="L342" s="4">
        <v>1.141553961965732</v>
      </c>
      <c r="O342" s="4">
        <v>-2.0152406669288321</v>
      </c>
      <c r="P342" s="4">
        <v>-2.245722737340047</v>
      </c>
      <c r="Q342" s="4">
        <v>-2.3355056436081139</v>
      </c>
      <c r="R342" s="4">
        <v>-2.1110483779379461</v>
      </c>
      <c r="S342" s="2">
        <v>-2.077500000000001</v>
      </c>
      <c r="T342" s="2">
        <v>-1.9229615384615379</v>
      </c>
      <c r="W342" s="4">
        <v>-0.51053259648221894</v>
      </c>
      <c r="X342" s="4">
        <v>-0.56892195502417364</v>
      </c>
      <c r="Y342" s="4">
        <v>-0.57912264357625076</v>
      </c>
      <c r="Z342" s="4">
        <v>-0.55362092219605796</v>
      </c>
      <c r="AA342" s="2">
        <v>-0.64055000000000106</v>
      </c>
      <c r="AB342" s="2">
        <v>-0.59906532852408212</v>
      </c>
    </row>
    <row r="343" spans="1:28" x14ac:dyDescent="0.2">
      <c r="A343" s="2">
        <v>79631</v>
      </c>
      <c r="B343" s="2" t="s">
        <v>618</v>
      </c>
      <c r="C343" s="2" t="s">
        <v>113</v>
      </c>
      <c r="D343" s="2" t="s">
        <v>23</v>
      </c>
      <c r="E343" s="2" t="s">
        <v>27</v>
      </c>
      <c r="G343" s="2" t="str">
        <f>IFERROR(VLOOKUP(F343,Picks!$A$2:$B$231,2,0),"")</f>
        <v/>
      </c>
      <c r="H343" s="2">
        <v>20</v>
      </c>
      <c r="I343" s="4">
        <v>0.52631578947368418</v>
      </c>
      <c r="J343" s="4">
        <v>4.49</v>
      </c>
      <c r="K343" s="4">
        <v>2.3631578947368421</v>
      </c>
      <c r="L343" s="4">
        <v>1.269464358766812</v>
      </c>
      <c r="O343" s="4">
        <v>-1.091710964214355</v>
      </c>
      <c r="P343" s="4">
        <v>-1.272546522703849</v>
      </c>
      <c r="Q343" s="4">
        <v>-0.90772809366945983</v>
      </c>
      <c r="R343" s="4">
        <v>-1.8197741662554321</v>
      </c>
      <c r="S343" s="2">
        <v>-1.1813333333333329</v>
      </c>
      <c r="T343" s="2">
        <v>-1.995774615917814</v>
      </c>
      <c r="W343" s="4">
        <v>-0.52040764848411902</v>
      </c>
      <c r="X343" s="4">
        <v>-0.60661014240480138</v>
      </c>
      <c r="Y343" s="4">
        <v>-0.37117914498513738</v>
      </c>
      <c r="Z343" s="4">
        <v>-0.95975663853429727</v>
      </c>
      <c r="AA343" s="2">
        <v>-0.41055000000000058</v>
      </c>
      <c r="AB343" s="2">
        <v>-1.038539012734609</v>
      </c>
    </row>
    <row r="344" spans="1:28" x14ac:dyDescent="0.2">
      <c r="A344" s="2">
        <v>105807</v>
      </c>
      <c r="B344" s="2" t="s">
        <v>618</v>
      </c>
      <c r="C344" s="2" t="s">
        <v>359</v>
      </c>
      <c r="D344" s="2" t="s">
        <v>23</v>
      </c>
      <c r="E344" s="2" t="s">
        <v>53</v>
      </c>
      <c r="G344" s="2" t="str">
        <f>IFERROR(VLOOKUP(F344,Picks!$A$2:$B$231,2,0),"")</f>
        <v/>
      </c>
      <c r="H344" s="2">
        <v>13</v>
      </c>
      <c r="I344" s="4">
        <v>0.72222222222222221</v>
      </c>
      <c r="J344" s="4">
        <v>4.0999999999999996</v>
      </c>
      <c r="K344" s="4">
        <v>2.9611111111111108</v>
      </c>
      <c r="L344" s="4">
        <v>0.53849463375992446</v>
      </c>
      <c r="O344" s="4">
        <v>-1.2821867644760461</v>
      </c>
      <c r="P344" s="4">
        <v>-1.398749197610232</v>
      </c>
      <c r="Q344" s="4">
        <v>-1.9076774647435919</v>
      </c>
      <c r="R344" s="4">
        <v>-0.63535679691019187</v>
      </c>
      <c r="S344" s="2">
        <v>-0.75699999999999967</v>
      </c>
      <c r="T344" s="2">
        <v>-0.35249405326379041</v>
      </c>
      <c r="W344" s="4">
        <v>-0.54737171521036265</v>
      </c>
      <c r="X344" s="4">
        <v>-0.59713278022948657</v>
      </c>
      <c r="Y344" s="4">
        <v>-0.72377899042224259</v>
      </c>
      <c r="Z344" s="4">
        <v>-0.40716346494035272</v>
      </c>
      <c r="AA344" s="2">
        <v>-0.80055000000000121</v>
      </c>
      <c r="AB344" s="2">
        <v>-0.4405857963603399</v>
      </c>
    </row>
    <row r="345" spans="1:28" x14ac:dyDescent="0.2">
      <c r="A345" s="2">
        <v>72018</v>
      </c>
      <c r="B345" s="2" t="s">
        <v>618</v>
      </c>
      <c r="C345" s="2" t="s">
        <v>87</v>
      </c>
      <c r="D345" s="2" t="s">
        <v>77</v>
      </c>
      <c r="E345" s="2" t="s">
        <v>24</v>
      </c>
      <c r="G345" s="2" t="str">
        <f>IFERROR(VLOOKUP(F345,Picks!$A$2:$B$231,2,0),"")</f>
        <v/>
      </c>
      <c r="H345" s="2">
        <v>29</v>
      </c>
      <c r="I345" s="4">
        <v>0.76315789473684215</v>
      </c>
      <c r="J345" s="4">
        <v>4.0199999999999996</v>
      </c>
      <c r="K345" s="4">
        <v>3.067894736842105</v>
      </c>
      <c r="L345" s="4">
        <v>0.89703716515854326</v>
      </c>
      <c r="O345" s="4">
        <v>-1.2434367214496951</v>
      </c>
      <c r="P345" s="4">
        <v>-1.338543779464261</v>
      </c>
      <c r="Q345" s="4">
        <v>-1.208560883239945</v>
      </c>
      <c r="R345" s="4">
        <v>-1.533518123800736</v>
      </c>
      <c r="S345" s="2">
        <v>-1.5209999999999999</v>
      </c>
      <c r="T345" s="2">
        <v>-1.093745376955904</v>
      </c>
      <c r="W345" s="4">
        <v>-0.55834978629125154</v>
      </c>
      <c r="X345" s="4">
        <v>-0.60105642716905261</v>
      </c>
      <c r="Y345" s="4">
        <v>-0.7961071638452385</v>
      </c>
      <c r="Z345" s="4">
        <v>-0.30848032215477378</v>
      </c>
      <c r="AA345" s="2">
        <v>-0.88055000000000128</v>
      </c>
      <c r="AB345" s="2">
        <v>-0.3338021706293457</v>
      </c>
    </row>
    <row r="346" spans="1:28" x14ac:dyDescent="0.2">
      <c r="A346" s="2">
        <v>121792</v>
      </c>
      <c r="B346" s="2" t="s">
        <v>618</v>
      </c>
      <c r="C346" s="2" t="s">
        <v>479</v>
      </c>
      <c r="D346" s="2" t="s">
        <v>31</v>
      </c>
      <c r="E346" s="2" t="s">
        <v>27</v>
      </c>
      <c r="G346" s="2" t="str">
        <f>IFERROR(VLOOKUP(F346,Picks!$A$2:$B$231,2,0),"")</f>
        <v/>
      </c>
      <c r="H346" s="2">
        <v>24</v>
      </c>
      <c r="I346" s="4">
        <v>0.63157894736842102</v>
      </c>
      <c r="J346" s="4">
        <v>4.2</v>
      </c>
      <c r="K346" s="4">
        <v>2.6526315789473678</v>
      </c>
      <c r="L346" s="4">
        <v>1.233244255622383</v>
      </c>
      <c r="O346" s="4">
        <v>-1.156910383508333</v>
      </c>
      <c r="P346" s="4">
        <v>-1.3006684785004921</v>
      </c>
      <c r="Q346" s="4">
        <v>-1.130562021855811</v>
      </c>
      <c r="R346" s="4">
        <v>-1.555828163467514</v>
      </c>
      <c r="S346" s="2">
        <v>-1.4713333333333329</v>
      </c>
      <c r="T346" s="2">
        <v>-1.706300931707287</v>
      </c>
      <c r="W346" s="4">
        <v>-0.58431136451857868</v>
      </c>
      <c r="X346" s="4">
        <v>-0.65691810212147894</v>
      </c>
      <c r="Y346" s="4">
        <v>-0.63336877364349731</v>
      </c>
      <c r="Z346" s="4">
        <v>-0.69224209483845134</v>
      </c>
      <c r="AA346" s="2">
        <v>-0.70055000000000067</v>
      </c>
      <c r="AB346" s="2">
        <v>-0.74906532852408247</v>
      </c>
    </row>
    <row r="347" spans="1:28" x14ac:dyDescent="0.2">
      <c r="A347" s="2">
        <v>131617</v>
      </c>
      <c r="B347" s="2" t="s">
        <v>618</v>
      </c>
      <c r="C347" s="2" t="s">
        <v>551</v>
      </c>
      <c r="D347" s="2" t="s">
        <v>52</v>
      </c>
      <c r="E347" s="2" t="s">
        <v>27</v>
      </c>
      <c r="G347" s="2" t="str">
        <f>IFERROR(VLOOKUP(F347,Picks!$A$2:$B$231,2,0),"")</f>
        <v/>
      </c>
      <c r="H347" s="2">
        <v>19</v>
      </c>
      <c r="I347" s="4">
        <v>0.5</v>
      </c>
      <c r="J347" s="4">
        <v>4.32</v>
      </c>
      <c r="K347" s="4">
        <v>2.16</v>
      </c>
      <c r="L347" s="4">
        <v>1.1975770049512691</v>
      </c>
      <c r="O347" s="4">
        <v>-1.2112665201808619</v>
      </c>
      <c r="P347" s="4">
        <v>-1.425019435506897</v>
      </c>
      <c r="Q347" s="4">
        <v>-1.0383548791580111</v>
      </c>
      <c r="R347" s="4">
        <v>-2.0050162700302252</v>
      </c>
      <c r="S347" s="2">
        <v>-1.3513333333333331</v>
      </c>
      <c r="T347" s="2">
        <v>-2.198932510654656</v>
      </c>
      <c r="W347" s="4">
        <v>-0.65783811301787609</v>
      </c>
      <c r="X347" s="4">
        <v>-0.77392719178573666</v>
      </c>
      <c r="Y347" s="4">
        <v>-0.52487651350900344</v>
      </c>
      <c r="Z347" s="4">
        <v>-1.147503209200837</v>
      </c>
      <c r="AA347" s="2">
        <v>-0.58055000000000057</v>
      </c>
      <c r="AB347" s="2">
        <v>-1.241696907471451</v>
      </c>
    </row>
    <row r="348" spans="1:28" x14ac:dyDescent="0.2">
      <c r="A348" s="2">
        <v>102950</v>
      </c>
      <c r="B348" s="2" t="s">
        <v>618</v>
      </c>
      <c r="C348" s="2" t="s">
        <v>320</v>
      </c>
      <c r="D348" s="2" t="s">
        <v>65</v>
      </c>
      <c r="E348" s="2" t="s">
        <v>29</v>
      </c>
      <c r="G348" s="2" t="str">
        <f>IFERROR(VLOOKUP(F348,Picks!$A$2:$B$231,2,0),"")</f>
        <v/>
      </c>
      <c r="H348" s="2">
        <v>27</v>
      </c>
      <c r="I348" s="4">
        <v>0.71052631578947367</v>
      </c>
      <c r="J348" s="4">
        <v>3.88</v>
      </c>
      <c r="K348" s="4">
        <v>2.756842105263158</v>
      </c>
      <c r="L348" s="4">
        <v>1.181362980703385</v>
      </c>
      <c r="O348" s="4">
        <v>-1.2877276678899561</v>
      </c>
      <c r="P348" s="4">
        <v>-1.4101916824155141</v>
      </c>
      <c r="Q348" s="4">
        <v>-1.3764477357166141</v>
      </c>
      <c r="R348" s="4">
        <v>-1.4608076024638641</v>
      </c>
      <c r="S348" s="2">
        <v>-1.791333333333333</v>
      </c>
      <c r="T348" s="2">
        <v>-1.6020904053914979</v>
      </c>
      <c r="W348" s="4">
        <v>-0.72320609879850017</v>
      </c>
      <c r="X348" s="4">
        <v>-0.79198362404446709</v>
      </c>
      <c r="Y348" s="4">
        <v>-0.92268146733548095</v>
      </c>
      <c r="Z348" s="4">
        <v>-0.59593685910794636</v>
      </c>
      <c r="AA348" s="2">
        <v>-1.020550000000001</v>
      </c>
      <c r="AB348" s="2">
        <v>-0.64485480220829272</v>
      </c>
    </row>
    <row r="349" spans="1:28" x14ac:dyDescent="0.2">
      <c r="A349" s="2">
        <v>113397</v>
      </c>
      <c r="B349" s="2" t="s">
        <v>618</v>
      </c>
      <c r="C349" s="2" t="s">
        <v>444</v>
      </c>
      <c r="D349" s="2" t="s">
        <v>45</v>
      </c>
      <c r="E349" s="2" t="s">
        <v>27</v>
      </c>
      <c r="G349" s="2" t="str">
        <f>IFERROR(VLOOKUP(F349,Picks!$A$2:$B$231,2,0),"")</f>
        <v/>
      </c>
      <c r="H349" s="2">
        <v>20</v>
      </c>
      <c r="I349" s="4">
        <v>0.52631578947368418</v>
      </c>
      <c r="J349" s="4">
        <v>4.1500000000000004</v>
      </c>
      <c r="K349" s="4">
        <v>2.1842105263157889</v>
      </c>
      <c r="L349" s="4">
        <v>2.0120547977741778</v>
      </c>
      <c r="O349" s="4">
        <v>-1.2821797161058459</v>
      </c>
      <c r="P349" s="4">
        <v>-1.494565313252213</v>
      </c>
      <c r="Q349" s="4">
        <v>-1.1689816646465621</v>
      </c>
      <c r="R349" s="4">
        <v>-1.98294078616069</v>
      </c>
      <c r="S349" s="2">
        <v>-1.521333333333333</v>
      </c>
      <c r="T349" s="2">
        <v>-2.1747219843388659</v>
      </c>
      <c r="W349" s="4">
        <v>-0.73538396724437782</v>
      </c>
      <c r="X349" s="4">
        <v>-0.85719603543823175</v>
      </c>
      <c r="Y349" s="4">
        <v>-0.67857388203286961</v>
      </c>
      <c r="Z349" s="4">
        <v>-1.125129265546275</v>
      </c>
      <c r="AA349" s="2">
        <v>-0.75055000000000049</v>
      </c>
      <c r="AB349" s="2">
        <v>-1.2174863811556611</v>
      </c>
    </row>
    <row r="350" spans="1:28" x14ac:dyDescent="0.2">
      <c r="A350" s="2">
        <v>108274</v>
      </c>
      <c r="B350" s="2" t="s">
        <v>618</v>
      </c>
      <c r="C350" s="2" t="s">
        <v>390</v>
      </c>
      <c r="D350" s="2" t="s">
        <v>61</v>
      </c>
      <c r="E350" s="2" t="s">
        <v>53</v>
      </c>
      <c r="G350" s="2" t="str">
        <f>IFERROR(VLOOKUP(F350,Picks!$A$2:$B$231,2,0),"")</f>
        <v/>
      </c>
      <c r="H350" s="2">
        <v>20</v>
      </c>
      <c r="I350" s="4">
        <v>0.52631578947368418</v>
      </c>
      <c r="J350" s="4">
        <v>4</v>
      </c>
      <c r="K350" s="4">
        <v>2.1052631578947372</v>
      </c>
      <c r="L350" s="4">
        <v>1.9792725541288489</v>
      </c>
      <c r="O350" s="4">
        <v>-1.8590623582829631</v>
      </c>
      <c r="P350" s="4">
        <v>-2.167005202906521</v>
      </c>
      <c r="Q350" s="4">
        <v>-2.1596824138510669</v>
      </c>
      <c r="R350" s="4">
        <v>-2.1779893864897031</v>
      </c>
      <c r="S350" s="2">
        <v>-0.85699999999999932</v>
      </c>
      <c r="T350" s="2">
        <v>-1.208342006480164</v>
      </c>
      <c r="W350" s="4">
        <v>-0.83022646081508034</v>
      </c>
      <c r="X350" s="4">
        <v>-0.96774863530592192</v>
      </c>
      <c r="Y350" s="4">
        <v>-0.81418920720098709</v>
      </c>
      <c r="Z350" s="4">
        <v>-1.1980877774633241</v>
      </c>
      <c r="AA350" s="2">
        <v>-0.90055000000000085</v>
      </c>
      <c r="AB350" s="2">
        <v>-1.296433749576714</v>
      </c>
    </row>
    <row r="351" spans="1:28" x14ac:dyDescent="0.2">
      <c r="A351" s="2">
        <v>81150</v>
      </c>
      <c r="B351" s="2" t="s">
        <v>618</v>
      </c>
      <c r="C351" s="2" t="s">
        <v>125</v>
      </c>
      <c r="D351" s="2" t="s">
        <v>50</v>
      </c>
      <c r="E351" s="2" t="s">
        <v>37</v>
      </c>
      <c r="G351" s="2" t="str">
        <f>IFERROR(VLOOKUP(F351,Picks!$A$2:$B$231,2,0),"")</f>
        <v/>
      </c>
      <c r="H351" s="2">
        <v>15</v>
      </c>
      <c r="I351" s="4">
        <v>0.39473684210526322</v>
      </c>
      <c r="J351" s="4">
        <v>4.12</v>
      </c>
      <c r="K351" s="4">
        <v>1.6263157894736839</v>
      </c>
      <c r="L351" s="4">
        <v>1.960232898317755</v>
      </c>
      <c r="O351" s="4">
        <v>-2.3379864587023151</v>
      </c>
      <c r="P351" s="4">
        <v>-2.8567037115976839</v>
      </c>
      <c r="Q351" s="4">
        <v>-2.4928923055119099</v>
      </c>
      <c r="R351" s="4">
        <v>-3.4024208207263462</v>
      </c>
      <c r="S351" s="2">
        <v>-2.2174999999999998</v>
      </c>
      <c r="T351" s="2">
        <v>-3.0992773279352219</v>
      </c>
      <c r="W351" s="4">
        <v>-0.88364861155990149</v>
      </c>
      <c r="X351" s="4">
        <v>-1.079699268143931</v>
      </c>
      <c r="Y351" s="4">
        <v>-0.70569694706649322</v>
      </c>
      <c r="Z351" s="4">
        <v>-1.640702749760087</v>
      </c>
      <c r="AA351" s="2">
        <v>-0.78055000000000074</v>
      </c>
      <c r="AB351" s="2">
        <v>-1.7753811179977661</v>
      </c>
    </row>
    <row r="352" spans="1:28" x14ac:dyDescent="0.2">
      <c r="A352" s="2">
        <v>103179</v>
      </c>
      <c r="B352" s="2" t="s">
        <v>618</v>
      </c>
      <c r="C352" s="2" t="s">
        <v>324</v>
      </c>
      <c r="D352" s="2" t="s">
        <v>61</v>
      </c>
      <c r="E352" s="2" t="s">
        <v>27</v>
      </c>
      <c r="G352" s="2" t="str">
        <f>IFERROR(VLOOKUP(F352,Picks!$A$2:$B$231,2,0),"")</f>
        <v/>
      </c>
      <c r="H352" s="2">
        <v>11</v>
      </c>
      <c r="I352" s="4">
        <v>0.57894736842105265</v>
      </c>
      <c r="J352" s="4">
        <v>3.81</v>
      </c>
      <c r="K352" s="4">
        <v>2.2057894736842112</v>
      </c>
      <c r="L352" s="4">
        <v>4.1944149024946258</v>
      </c>
      <c r="O352" s="4">
        <v>-1.4358537523451</v>
      </c>
      <c r="P352" s="4">
        <v>-1.6434470659371621</v>
      </c>
      <c r="Q352" s="4">
        <v>-1.4302352356236641</v>
      </c>
      <c r="R352" s="4">
        <v>-1.9632648114074089</v>
      </c>
      <c r="S352" s="2">
        <v>-1.8613333333333331</v>
      </c>
      <c r="T352" s="2">
        <v>-2.153143036970445</v>
      </c>
      <c r="W352" s="4">
        <v>-0.9030889965284955</v>
      </c>
      <c r="X352" s="4">
        <v>-1.033656080363941</v>
      </c>
      <c r="Y352" s="4">
        <v>-0.98596861908060218</v>
      </c>
      <c r="Z352" s="4">
        <v>-1.105187272288948</v>
      </c>
      <c r="AA352" s="2">
        <v>-1.090550000000001</v>
      </c>
      <c r="AB352" s="2">
        <v>-1.19590743378724</v>
      </c>
    </row>
    <row r="353" spans="1:28" x14ac:dyDescent="0.2">
      <c r="A353" s="2">
        <v>143600</v>
      </c>
      <c r="B353" s="2" t="s">
        <v>618</v>
      </c>
      <c r="C353" s="2" t="s">
        <v>599</v>
      </c>
      <c r="D353" s="2" t="s">
        <v>35</v>
      </c>
      <c r="E353" s="2" t="s">
        <v>37</v>
      </c>
      <c r="G353" s="2" t="str">
        <f>IFERROR(VLOOKUP(F353,Picks!$A$2:$B$231,2,0),"")</f>
        <v/>
      </c>
      <c r="H353" s="2">
        <v>5</v>
      </c>
      <c r="I353" s="4">
        <v>0.3125</v>
      </c>
      <c r="J353" s="4">
        <v>4.2</v>
      </c>
      <c r="K353" s="4">
        <v>1.3125</v>
      </c>
      <c r="L353" s="4">
        <v>1.9903599967510071</v>
      </c>
      <c r="O353" s="4">
        <v>-2.3340589778901362</v>
      </c>
      <c r="P353" s="4">
        <v>-2.9405467437985959</v>
      </c>
      <c r="Q353" s="4">
        <v>-2.4029570701383118</v>
      </c>
      <c r="R353" s="4">
        <v>-3.7469312542890232</v>
      </c>
      <c r="S353" s="2">
        <v>-2.1375000000000002</v>
      </c>
      <c r="T353" s="2">
        <v>-3.413093117408907</v>
      </c>
      <c r="W353" s="4">
        <v>-0.91464320344285399</v>
      </c>
      <c r="X353" s="4">
        <v>-1.1523063980382411</v>
      </c>
      <c r="Y353" s="4">
        <v>-0.63336877364349731</v>
      </c>
      <c r="Z353" s="4">
        <v>-1.930712834630357</v>
      </c>
      <c r="AA353" s="2">
        <v>-0.70055000000000067</v>
      </c>
      <c r="AB353" s="2">
        <v>-2.0891969074714511</v>
      </c>
    </row>
    <row r="354" spans="1:28" x14ac:dyDescent="0.2">
      <c r="A354" s="2">
        <v>103014</v>
      </c>
      <c r="B354" s="2" t="s">
        <v>618</v>
      </c>
      <c r="C354" s="2" t="s">
        <v>322</v>
      </c>
      <c r="D354" s="2" t="s">
        <v>77</v>
      </c>
      <c r="E354" s="2" t="s">
        <v>27</v>
      </c>
      <c r="G354" s="2" t="str">
        <f>IFERROR(VLOOKUP(F354,Picks!$A$2:$B$231,2,0),"")</f>
        <v/>
      </c>
      <c r="H354" s="2">
        <v>22</v>
      </c>
      <c r="I354" s="4">
        <v>0.57894736842105265</v>
      </c>
      <c r="J354" s="4">
        <v>3.69</v>
      </c>
      <c r="K354" s="4">
        <v>2.1363157894736839</v>
      </c>
      <c r="L354" s="4">
        <v>0.98789533743410274</v>
      </c>
      <c r="O354" s="4">
        <v>-1.506327830835253</v>
      </c>
      <c r="P354" s="4">
        <v>-1.7241101678234829</v>
      </c>
      <c r="Q354" s="4">
        <v>-1.5224423783214649</v>
      </c>
      <c r="R354" s="4">
        <v>-2.0266118520765088</v>
      </c>
      <c r="S354" s="2">
        <v>-1.9813333333333329</v>
      </c>
      <c r="T354" s="2">
        <v>-2.2226167211809709</v>
      </c>
      <c r="W354" s="4">
        <v>-0.98239921167445654</v>
      </c>
      <c r="X354" s="4">
        <v>-1.1244328326394379</v>
      </c>
      <c r="Y354" s="4">
        <v>-1.094460879215096</v>
      </c>
      <c r="Z354" s="4">
        <v>-1.169390762775951</v>
      </c>
      <c r="AA354" s="2">
        <v>-1.2105500000000009</v>
      </c>
      <c r="AB354" s="2">
        <v>-1.2653811179977661</v>
      </c>
    </row>
    <row r="355" spans="1:28" x14ac:dyDescent="0.2">
      <c r="A355" s="2">
        <v>97145</v>
      </c>
      <c r="B355" s="2" t="s">
        <v>618</v>
      </c>
      <c r="C355" s="2" t="s">
        <v>249</v>
      </c>
      <c r="D355" s="2" t="s">
        <v>31</v>
      </c>
      <c r="E355" s="2" t="s">
        <v>29</v>
      </c>
      <c r="G355" s="2" t="str">
        <f>IFERROR(VLOOKUP(F355,Picks!$A$2:$B$231,2,0),"")</f>
        <v/>
      </c>
      <c r="H355" s="2">
        <v>15</v>
      </c>
      <c r="I355" s="4">
        <v>0.39473684210526322</v>
      </c>
      <c r="J355" s="4">
        <v>3.93</v>
      </c>
      <c r="K355" s="4">
        <v>1.551315789473684</v>
      </c>
      <c r="L355" s="4">
        <v>0.82969685461303599</v>
      </c>
      <c r="O355" s="4">
        <v>-0.95671224256420495</v>
      </c>
      <c r="P355" s="4">
        <v>-1.1689731581170351</v>
      </c>
      <c r="Q355" s="4">
        <v>-0.76099782485816525</v>
      </c>
      <c r="R355" s="4">
        <v>-1.78093615800534</v>
      </c>
      <c r="S355" s="2">
        <v>-0.94733333333333336</v>
      </c>
      <c r="T355" s="2">
        <v>-2.0463044156141992</v>
      </c>
      <c r="W355" s="4">
        <v>-0.99069144102067253</v>
      </c>
      <c r="X355" s="4">
        <v>-1.2104911498001789</v>
      </c>
      <c r="Y355" s="4">
        <v>-0.87747635894610831</v>
      </c>
      <c r="Z355" s="4">
        <v>-1.7100133360812839</v>
      </c>
      <c r="AA355" s="2">
        <v>-0.97055000000000069</v>
      </c>
      <c r="AB355" s="2">
        <v>-1.8503811179977669</v>
      </c>
    </row>
    <row r="356" spans="1:28" x14ac:dyDescent="0.2">
      <c r="A356" s="2">
        <v>81121</v>
      </c>
      <c r="B356" s="2" t="s">
        <v>618</v>
      </c>
      <c r="C356" s="2" t="s">
        <v>124</v>
      </c>
      <c r="D356" s="2" t="s">
        <v>41</v>
      </c>
      <c r="E356" s="2" t="s">
        <v>29</v>
      </c>
      <c r="G356" s="2" t="str">
        <f>IFERROR(VLOOKUP(F356,Picks!$A$2:$B$231,2,0),"")</f>
        <v/>
      </c>
      <c r="H356" s="2">
        <v>30</v>
      </c>
      <c r="I356" s="4">
        <v>0.78947368421052633</v>
      </c>
      <c r="J356" s="4">
        <v>3.31</v>
      </c>
      <c r="K356" s="4">
        <v>2.6131578947368421</v>
      </c>
      <c r="L356" s="4">
        <v>1.0212524037972861</v>
      </c>
      <c r="O356" s="4">
        <v>-1.028789844622048</v>
      </c>
      <c r="P356" s="4">
        <v>-1.0981464633606131</v>
      </c>
      <c r="Q356" s="4">
        <v>-1.2590470698392311</v>
      </c>
      <c r="R356" s="4">
        <v>-0.85679555364268734</v>
      </c>
      <c r="S356" s="2">
        <v>-1.567333333333333</v>
      </c>
      <c r="T356" s="2">
        <v>-0.98446231035104104</v>
      </c>
      <c r="W356" s="4">
        <v>-1.081397181338962</v>
      </c>
      <c r="X356" s="4">
        <v>-1.154300362103386</v>
      </c>
      <c r="Y356" s="4">
        <v>-1.438019702974326</v>
      </c>
      <c r="Z356" s="4">
        <v>-0.72872135079697564</v>
      </c>
      <c r="AA356" s="2">
        <v>-1.590550000000001</v>
      </c>
      <c r="AB356" s="2">
        <v>-0.78853901273460858</v>
      </c>
    </row>
    <row r="357" spans="1:28" x14ac:dyDescent="0.2">
      <c r="A357" s="2">
        <v>102340</v>
      </c>
      <c r="B357" s="2" t="s">
        <v>618</v>
      </c>
      <c r="C357" s="2" t="s">
        <v>313</v>
      </c>
      <c r="D357" s="2" t="s">
        <v>99</v>
      </c>
      <c r="E357" s="2" t="s">
        <v>53</v>
      </c>
      <c r="G357" s="2" t="str">
        <f>IFERROR(VLOOKUP(F357,Picks!$A$2:$B$231,2,0),"")</f>
        <v/>
      </c>
      <c r="H357" s="2">
        <v>18</v>
      </c>
      <c r="I357" s="4">
        <v>0.47368421052631582</v>
      </c>
      <c r="J357" s="4">
        <v>3.6</v>
      </c>
      <c r="K357" s="4">
        <v>1.705263157894737</v>
      </c>
      <c r="L357" s="4">
        <v>1.0921209154133791</v>
      </c>
      <c r="O357" s="4">
        <v>-2.577019660414793</v>
      </c>
      <c r="P357" s="4">
        <v>-3.0602108467425668</v>
      </c>
      <c r="Q357" s="4">
        <v>-3.1677022102809711</v>
      </c>
      <c r="R357" s="4">
        <v>-2.8989738014349622</v>
      </c>
      <c r="S357" s="2">
        <v>-1.256999999999999</v>
      </c>
      <c r="T357" s="2">
        <v>-1.6083420064801639</v>
      </c>
      <c r="W357" s="4">
        <v>-1.1221858860857219</v>
      </c>
      <c r="X357" s="4">
        <v>-1.3325957397267949</v>
      </c>
      <c r="Y357" s="4">
        <v>-1.175830074315966</v>
      </c>
      <c r="Z357" s="4">
        <v>-1.5677442378430391</v>
      </c>
      <c r="AA357" s="2">
        <v>-1.300550000000001</v>
      </c>
      <c r="AB357" s="2">
        <v>-1.6964337495767139</v>
      </c>
    </row>
    <row r="358" spans="1:28" x14ac:dyDescent="0.2">
      <c r="A358" s="2">
        <v>125488</v>
      </c>
      <c r="B358" s="2" t="s">
        <v>618</v>
      </c>
      <c r="C358" s="2" t="s">
        <v>179</v>
      </c>
      <c r="D358" s="2" t="s">
        <v>99</v>
      </c>
      <c r="E358" s="2" t="s">
        <v>53</v>
      </c>
      <c r="G358" s="2" t="str">
        <f>IFERROR(VLOOKUP(F358,Picks!$A$2:$B$231,2,0),"")</f>
        <v/>
      </c>
      <c r="H358" s="2">
        <v>16</v>
      </c>
      <c r="I358" s="4">
        <v>0.42105263157894729</v>
      </c>
      <c r="J358" s="4">
        <v>3.65</v>
      </c>
      <c r="K358" s="4">
        <v>1.536842105263158</v>
      </c>
      <c r="L358" s="4">
        <v>1.2708859377836901</v>
      </c>
      <c r="O358" s="4">
        <v>-2.5665685033089471</v>
      </c>
      <c r="P358" s="4">
        <v>-3.106038316106368</v>
      </c>
      <c r="Q358" s="4">
        <v>-3.0416997357272342</v>
      </c>
      <c r="R358" s="4">
        <v>-3.2025461866750708</v>
      </c>
      <c r="S358" s="2">
        <v>-1.206999999999999</v>
      </c>
      <c r="T358" s="2">
        <v>-1.7767630591117429</v>
      </c>
      <c r="W358" s="4">
        <v>-1.1301773945441831</v>
      </c>
      <c r="X358" s="4">
        <v>-1.367730604862387</v>
      </c>
      <c r="Y358" s="4">
        <v>-1.1306249659265939</v>
      </c>
      <c r="Z358" s="4">
        <v>-1.7233890632660771</v>
      </c>
      <c r="AA358" s="2">
        <v>-1.2505500000000009</v>
      </c>
      <c r="AB358" s="2">
        <v>-1.8648548022082929</v>
      </c>
    </row>
    <row r="359" spans="1:28" x14ac:dyDescent="0.2">
      <c r="A359" s="2">
        <v>91908</v>
      </c>
      <c r="B359" s="2" t="s">
        <v>618</v>
      </c>
      <c r="C359" s="2" t="s">
        <v>210</v>
      </c>
      <c r="D359" s="2" t="s">
        <v>31</v>
      </c>
      <c r="E359" s="2" t="s">
        <v>27</v>
      </c>
      <c r="G359" s="2" t="str">
        <f>IFERROR(VLOOKUP(F359,Picks!$A$2:$B$231,2,0),"")</f>
        <v/>
      </c>
      <c r="H359" s="2">
        <v>25</v>
      </c>
      <c r="I359" s="4">
        <v>0.65789473684210531</v>
      </c>
      <c r="J359" s="4">
        <v>3.32</v>
      </c>
      <c r="K359" s="4">
        <v>2.1842105263157889</v>
      </c>
      <c r="L359" s="4">
        <v>0.71497794134819925</v>
      </c>
      <c r="O359" s="4">
        <v>-1.6845623942310459</v>
      </c>
      <c r="P359" s="4">
        <v>-1.877224955448086</v>
      </c>
      <c r="Q359" s="4">
        <v>-1.806747734973017</v>
      </c>
      <c r="R359" s="4">
        <v>-1.98294078616069</v>
      </c>
      <c r="S359" s="2">
        <v>-2.3513333333333328</v>
      </c>
      <c r="T359" s="2">
        <v>-2.1747219843388659</v>
      </c>
      <c r="W359" s="4">
        <v>-1.173254394773068</v>
      </c>
      <c r="X359" s="4">
        <v>-1.307438914996381</v>
      </c>
      <c r="Y359" s="4">
        <v>-1.428978681296452</v>
      </c>
      <c r="Z359" s="4">
        <v>-1.125129265546275</v>
      </c>
      <c r="AA359" s="2">
        <v>-1.580550000000001</v>
      </c>
      <c r="AB359" s="2">
        <v>-1.2174863811556611</v>
      </c>
    </row>
    <row r="360" spans="1:28" x14ac:dyDescent="0.2">
      <c r="A360" s="2">
        <v>123744</v>
      </c>
      <c r="B360" s="2" t="s">
        <v>618</v>
      </c>
      <c r="C360" s="2" t="s">
        <v>507</v>
      </c>
      <c r="D360" s="2" t="s">
        <v>58</v>
      </c>
      <c r="E360" s="2" t="s">
        <v>29</v>
      </c>
      <c r="G360" s="2" t="str">
        <f>IFERROR(VLOOKUP(F360,Picks!$A$2:$B$231,2,0),"")</f>
        <v/>
      </c>
      <c r="H360" s="2">
        <v>15</v>
      </c>
      <c r="I360" s="4">
        <v>0.7142857142857143</v>
      </c>
      <c r="J360" s="4">
        <v>3.26</v>
      </c>
      <c r="K360" s="4">
        <v>2.3285714285714278</v>
      </c>
      <c r="L360" s="4">
        <v>0.56144880612996406</v>
      </c>
      <c r="O360" s="4">
        <v>-1.1166335478044771</v>
      </c>
      <c r="P360" s="4">
        <v>-1.221317942911146</v>
      </c>
      <c r="Q360" s="4">
        <v>-1.299212331531252</v>
      </c>
      <c r="R360" s="4">
        <v>-1.104476359980987</v>
      </c>
      <c r="S360" s="2">
        <v>-1.617333333333334</v>
      </c>
      <c r="T360" s="2">
        <v>-1.2690487765164551</v>
      </c>
      <c r="W360" s="4">
        <v>-1.1763407112152571</v>
      </c>
      <c r="X360" s="4">
        <v>-1.286622652891688</v>
      </c>
      <c r="Y360" s="4">
        <v>-1.483224811363699</v>
      </c>
      <c r="Z360" s="4">
        <v>-0.99171941518367146</v>
      </c>
      <c r="AA360" s="2">
        <v>-1.6405500000000011</v>
      </c>
      <c r="AB360" s="2">
        <v>-1.073125478900022</v>
      </c>
    </row>
    <row r="361" spans="1:28" x14ac:dyDescent="0.2">
      <c r="A361" s="2">
        <v>99213</v>
      </c>
      <c r="B361" s="2" t="s">
        <v>618</v>
      </c>
      <c r="C361" s="2" t="s">
        <v>278</v>
      </c>
      <c r="D361" s="2" t="s">
        <v>67</v>
      </c>
      <c r="E361" s="2" t="s">
        <v>37</v>
      </c>
      <c r="G361" s="2" t="str">
        <f>IFERROR(VLOOKUP(F361,Picks!$A$2:$B$231,2,0),"")</f>
        <v/>
      </c>
      <c r="H361" s="2">
        <v>23</v>
      </c>
      <c r="I361" s="4">
        <v>0.60526315789473684</v>
      </c>
      <c r="J361" s="4">
        <v>3.3</v>
      </c>
      <c r="K361" s="4">
        <v>1.997368421052631</v>
      </c>
      <c r="L361" s="4">
        <v>1.2711299170434329</v>
      </c>
      <c r="O361" s="4">
        <v>-2.8623697165808339</v>
      </c>
      <c r="P361" s="4">
        <v>-3.2468671411961689</v>
      </c>
      <c r="Q361" s="4">
        <v>-3.4147284680912859</v>
      </c>
      <c r="R361" s="4">
        <v>-2.995075150853495</v>
      </c>
      <c r="S361" s="2">
        <v>-3.037500000000001</v>
      </c>
      <c r="T361" s="2">
        <v>-2.7282246963562748</v>
      </c>
      <c r="W361" s="4">
        <v>-1.2230634297831231</v>
      </c>
      <c r="X361" s="4">
        <v>-1.387355532291304</v>
      </c>
      <c r="Y361" s="4">
        <v>-1.4470607246522009</v>
      </c>
      <c r="Z361" s="4">
        <v>-1.2977977437499579</v>
      </c>
      <c r="AA361" s="2">
        <v>-1.600550000000001</v>
      </c>
      <c r="AB361" s="2">
        <v>-1.404328486418819</v>
      </c>
    </row>
    <row r="362" spans="1:28" x14ac:dyDescent="0.2">
      <c r="A362" s="2">
        <v>124481</v>
      </c>
      <c r="B362" s="2" t="s">
        <v>618</v>
      </c>
      <c r="C362" s="2" t="s">
        <v>512</v>
      </c>
      <c r="D362" s="2" t="s">
        <v>61</v>
      </c>
      <c r="E362" s="2" t="s">
        <v>37</v>
      </c>
      <c r="G362" s="2" t="str">
        <f>IFERROR(VLOOKUP(F362,Picks!$A$2:$B$231,2,0),"")</f>
        <v/>
      </c>
      <c r="H362" s="2">
        <v>18</v>
      </c>
      <c r="I362" s="4">
        <v>0.47368421052631582</v>
      </c>
      <c r="J362" s="4">
        <v>3.42</v>
      </c>
      <c r="K362" s="4">
        <v>1.62</v>
      </c>
      <c r="L362" s="4">
        <v>1.9644221204785191</v>
      </c>
      <c r="O362" s="4">
        <v>-2.8055891491670448</v>
      </c>
      <c r="P362" s="4">
        <v>-3.3316371146358659</v>
      </c>
      <c r="Q362" s="4">
        <v>-3.2798256150308891</v>
      </c>
      <c r="R362" s="4">
        <v>-3.409354364043331</v>
      </c>
      <c r="S362" s="2">
        <v>-2.9175</v>
      </c>
      <c r="T362" s="2">
        <v>-3.105593117408906</v>
      </c>
      <c r="W362" s="4">
        <v>-1.230953137680846</v>
      </c>
      <c r="X362" s="4">
        <v>-1.4617568509960051</v>
      </c>
      <c r="Y362" s="4">
        <v>-1.3385684645177069</v>
      </c>
      <c r="Z362" s="4">
        <v>-1.646539430713452</v>
      </c>
      <c r="AA362" s="2">
        <v>-1.4805500000000009</v>
      </c>
      <c r="AB362" s="2">
        <v>-1.781696907471451</v>
      </c>
    </row>
    <row r="363" spans="1:28" x14ac:dyDescent="0.2">
      <c r="A363" s="2">
        <v>103523</v>
      </c>
      <c r="B363" s="2" t="s">
        <v>618</v>
      </c>
      <c r="C363" s="2" t="s">
        <v>327</v>
      </c>
      <c r="D363" s="2" t="s">
        <v>23</v>
      </c>
      <c r="E363" s="2" t="s">
        <v>53</v>
      </c>
      <c r="G363" s="2" t="str">
        <f>IFERROR(VLOOKUP(F363,Picks!$A$2:$B$231,2,0),"")</f>
        <v/>
      </c>
      <c r="H363" s="2">
        <v>19</v>
      </c>
      <c r="I363" s="4">
        <v>0.5</v>
      </c>
      <c r="J363" s="4">
        <v>3.33</v>
      </c>
      <c r="K363" s="4">
        <v>1.665</v>
      </c>
      <c r="L363" s="4">
        <v>1.12976627449791</v>
      </c>
      <c r="O363" s="4">
        <v>-2.9728647775899741</v>
      </c>
      <c r="P363" s="4">
        <v>-3.497487973635264</v>
      </c>
      <c r="Q363" s="4">
        <v>-3.8481155728711558</v>
      </c>
      <c r="R363" s="4">
        <v>-2.9715465747814251</v>
      </c>
      <c r="S363" s="2">
        <v>-1.526999999999999</v>
      </c>
      <c r="T363" s="2">
        <v>-1.6486051643749009</v>
      </c>
      <c r="W363" s="4">
        <v>-1.2698522532385239</v>
      </c>
      <c r="X363" s="4">
        <v>-1.4939438273394401</v>
      </c>
      <c r="Y363" s="4">
        <v>-1.4199376596185771</v>
      </c>
      <c r="Z363" s="4">
        <v>-1.604953078920734</v>
      </c>
      <c r="AA363" s="2">
        <v>-1.570550000000001</v>
      </c>
      <c r="AB363" s="2">
        <v>-1.7366969074714509</v>
      </c>
    </row>
    <row r="364" spans="1:28" x14ac:dyDescent="0.2">
      <c r="A364" s="2">
        <v>132580</v>
      </c>
      <c r="B364" s="2" t="s">
        <v>618</v>
      </c>
      <c r="C364" s="2" t="s">
        <v>560</v>
      </c>
      <c r="D364" s="2" t="s">
        <v>77</v>
      </c>
      <c r="E364" s="2" t="s">
        <v>27</v>
      </c>
      <c r="G364" s="2" t="str">
        <f>IFERROR(VLOOKUP(F364,Picks!$A$2:$B$231,2,0),"")</f>
        <v/>
      </c>
      <c r="H364" s="2">
        <v>22</v>
      </c>
      <c r="I364" s="4">
        <v>0.57894736842105265</v>
      </c>
      <c r="J364" s="4">
        <v>3.15</v>
      </c>
      <c r="K364" s="4">
        <v>1.823684210526316</v>
      </c>
      <c r="L364" s="4">
        <v>0.62704759892922146</v>
      </c>
      <c r="O364" s="4">
        <v>-1.8234611840409449</v>
      </c>
      <c r="P364" s="4">
        <v>-2.0870941263119249</v>
      </c>
      <c r="Q364" s="4">
        <v>-1.937374520461568</v>
      </c>
      <c r="R364" s="4">
        <v>-2.3116735350874609</v>
      </c>
      <c r="S364" s="2">
        <v>-2.5213333333333332</v>
      </c>
      <c r="T364" s="2">
        <v>-2.5352483001283401</v>
      </c>
      <c r="W364" s="4">
        <v>-1.3392951798312811</v>
      </c>
      <c r="X364" s="4">
        <v>-1.532928217879177</v>
      </c>
      <c r="Y364" s="4">
        <v>-1.5826760498203181</v>
      </c>
      <c r="Z364" s="4">
        <v>-1.458306469967465</v>
      </c>
      <c r="AA364" s="2">
        <v>-1.7505500000000009</v>
      </c>
      <c r="AB364" s="2">
        <v>-1.5780126969451349</v>
      </c>
    </row>
    <row r="365" spans="1:28" x14ac:dyDescent="0.2">
      <c r="A365" s="2">
        <v>107173</v>
      </c>
      <c r="B365" s="2" t="s">
        <v>618</v>
      </c>
      <c r="C365" s="2" t="s">
        <v>376</v>
      </c>
      <c r="D365" s="2" t="s">
        <v>45</v>
      </c>
      <c r="E365" s="2" t="s">
        <v>29</v>
      </c>
      <c r="G365" s="2" t="str">
        <f>IFERROR(VLOOKUP(F365,Picks!$A$2:$B$231,2,0),"")</f>
        <v/>
      </c>
      <c r="H365" s="2">
        <v>22</v>
      </c>
      <c r="I365" s="4">
        <v>0.57894736842105265</v>
      </c>
      <c r="J365" s="4">
        <v>3.12</v>
      </c>
      <c r="K365" s="4">
        <v>1.8063157894736841</v>
      </c>
      <c r="L365" s="4">
        <v>1.566518187530372</v>
      </c>
      <c r="O365" s="4">
        <v>-1.2848461474813</v>
      </c>
      <c r="P365" s="4">
        <v>-1.4706070362737771</v>
      </c>
      <c r="Q365" s="4">
        <v>-1.411675064268912</v>
      </c>
      <c r="R365" s="4">
        <v>-1.559004994281074</v>
      </c>
      <c r="S365" s="2">
        <v>-1.757333333333333</v>
      </c>
      <c r="T365" s="2">
        <v>-1.7913044156141991</v>
      </c>
      <c r="W365" s="4">
        <v>-1.3591227336177709</v>
      </c>
      <c r="X365" s="4">
        <v>-1.555622405948051</v>
      </c>
      <c r="Y365" s="4">
        <v>-1.609799114853941</v>
      </c>
      <c r="Z365" s="4">
        <v>-1.474357342589216</v>
      </c>
      <c r="AA365" s="2">
        <v>-1.780550000000001</v>
      </c>
      <c r="AB365" s="2">
        <v>-1.5953811179977659</v>
      </c>
    </row>
    <row r="366" spans="1:28" x14ac:dyDescent="0.2">
      <c r="A366" s="2">
        <v>102318</v>
      </c>
      <c r="B366" s="2" t="s">
        <v>618</v>
      </c>
      <c r="C366" s="2" t="s">
        <v>312</v>
      </c>
      <c r="D366" s="2" t="s">
        <v>31</v>
      </c>
      <c r="E366" s="2" t="s">
        <v>37</v>
      </c>
      <c r="G366" s="2" t="str">
        <f>IFERROR(VLOOKUP(F366,Picks!$A$2:$B$231,2,0),"")</f>
        <v/>
      </c>
      <c r="H366" s="2">
        <v>16</v>
      </c>
      <c r="I366" s="4">
        <v>0.42105263157894729</v>
      </c>
      <c r="J366" s="4">
        <v>3.24</v>
      </c>
      <c r="K366" s="4">
        <v>1.36421052631579</v>
      </c>
      <c r="L366" s="4">
        <v>1.073961173939471</v>
      </c>
      <c r="O366" s="4">
        <v>-2.9461240747772832</v>
      </c>
      <c r="P366" s="4">
        <v>-3.5653730841253739</v>
      </c>
      <c r="Q366" s="4">
        <v>-3.482179894621483</v>
      </c>
      <c r="R366" s="4">
        <v>-3.6901628683812109</v>
      </c>
      <c r="S366" s="2">
        <v>-3.0975000000000001</v>
      </c>
      <c r="T366" s="2">
        <v>-3.361382591093117</v>
      </c>
      <c r="W366" s="4">
        <v>-1.3666884015798031</v>
      </c>
      <c r="X366" s="4">
        <v>-1.653954116561545</v>
      </c>
      <c r="Y366" s="4">
        <v>-1.501306854719447</v>
      </c>
      <c r="Z366" s="4">
        <v>-1.8829250093246901</v>
      </c>
      <c r="AA366" s="2">
        <v>-1.6605500000000011</v>
      </c>
      <c r="AB366" s="2">
        <v>-2.0374863811556612</v>
      </c>
    </row>
    <row r="367" spans="1:28" x14ac:dyDescent="0.2">
      <c r="A367" s="2">
        <v>90917</v>
      </c>
      <c r="B367" s="2" t="s">
        <v>618</v>
      </c>
      <c r="C367" s="2" t="s">
        <v>200</v>
      </c>
      <c r="D367" s="2" t="s">
        <v>41</v>
      </c>
      <c r="E367" s="2" t="s">
        <v>27</v>
      </c>
      <c r="G367" s="2" t="str">
        <f>IFERROR(VLOOKUP(F367,Picks!$A$2:$B$231,2,0),"")</f>
        <v/>
      </c>
      <c r="H367" s="2">
        <v>23</v>
      </c>
      <c r="I367" s="4">
        <v>0.60526315789473684</v>
      </c>
      <c r="J367" s="4">
        <v>3.06</v>
      </c>
      <c r="K367" s="4">
        <v>1.8521052631578949</v>
      </c>
      <c r="L367" s="4">
        <v>0.84200988969165258</v>
      </c>
      <c r="O367" s="4">
        <v>-1.867379446008278</v>
      </c>
      <c r="P367" s="4">
        <v>-2.1182214611437189</v>
      </c>
      <c r="Q367" s="4">
        <v>-2.0065298774849181</v>
      </c>
      <c r="R367" s="4">
        <v>-2.2857588366319201</v>
      </c>
      <c r="S367" s="2">
        <v>-2.6113333333333331</v>
      </c>
      <c r="T367" s="2">
        <v>-2.5068272474967608</v>
      </c>
      <c r="W367" s="4">
        <v>-1.3851753752366329</v>
      </c>
      <c r="X367" s="4">
        <v>-1.571243709223644</v>
      </c>
      <c r="Y367" s="4">
        <v>-1.664045244921188</v>
      </c>
      <c r="Z367" s="4">
        <v>-1.4320414056773281</v>
      </c>
      <c r="AA367" s="2">
        <v>-1.840550000000001</v>
      </c>
      <c r="AB367" s="2">
        <v>-1.549591644313556</v>
      </c>
    </row>
    <row r="368" spans="1:28" x14ac:dyDescent="0.2">
      <c r="A368" s="2">
        <v>107236</v>
      </c>
      <c r="B368" s="2" t="s">
        <v>618</v>
      </c>
      <c r="C368" s="2" t="s">
        <v>380</v>
      </c>
      <c r="D368" s="2" t="s">
        <v>77</v>
      </c>
      <c r="E368" s="2" t="s">
        <v>37</v>
      </c>
      <c r="G368" s="2" t="str">
        <f>IFERROR(VLOOKUP(F368,Picks!$A$2:$B$231,2,0),"")</f>
        <v/>
      </c>
      <c r="H368" s="2">
        <v>17</v>
      </c>
      <c r="I368" s="4">
        <v>0.44736842105263158</v>
      </c>
      <c r="J368" s="4">
        <v>3.17</v>
      </c>
      <c r="K368" s="4">
        <v>1.4181578947368421</v>
      </c>
      <c r="L368" s="4">
        <v>1.1086991146766469</v>
      </c>
      <c r="O368" s="4">
        <v>-2.993897721071642</v>
      </c>
      <c r="P368" s="4">
        <v>-3.5888994763634821</v>
      </c>
      <c r="Q368" s="4">
        <v>-3.5608732255733822</v>
      </c>
      <c r="R368" s="4">
        <v>-3.630938852548633</v>
      </c>
      <c r="S368" s="2">
        <v>-3.1675</v>
      </c>
      <c r="T368" s="2">
        <v>-3.3074352226720651</v>
      </c>
      <c r="W368" s="4">
        <v>-1.394786998287787</v>
      </c>
      <c r="X368" s="4">
        <v>-1.671984414351291</v>
      </c>
      <c r="Y368" s="4">
        <v>-1.5645940064645689</v>
      </c>
      <c r="Z368" s="4">
        <v>-1.833070026181373</v>
      </c>
      <c r="AA368" s="2">
        <v>-1.7305500000000009</v>
      </c>
      <c r="AB368" s="2">
        <v>-1.9835390127346091</v>
      </c>
    </row>
    <row r="369" spans="1:28" x14ac:dyDescent="0.2">
      <c r="A369" s="2">
        <v>99392</v>
      </c>
      <c r="B369" s="2" t="s">
        <v>618</v>
      </c>
      <c r="C369" s="2" t="s">
        <v>281</v>
      </c>
      <c r="D369" s="2" t="s">
        <v>47</v>
      </c>
      <c r="E369" s="2" t="s">
        <v>27</v>
      </c>
      <c r="G369" s="2" t="str">
        <f>IFERROR(VLOOKUP(F369,Picks!$A$2:$B$231,2,0),"")</f>
        <v/>
      </c>
      <c r="H369" s="2">
        <v>13</v>
      </c>
      <c r="I369" s="4">
        <v>0.34210526315789469</v>
      </c>
      <c r="J369" s="4">
        <v>3.13</v>
      </c>
      <c r="K369" s="4">
        <v>1.070789473684211</v>
      </c>
      <c r="L369" s="4">
        <v>0.67698499030491843</v>
      </c>
      <c r="O369" s="4">
        <v>-1.9029709801920149</v>
      </c>
      <c r="P369" s="4">
        <v>-2.3709146638457899</v>
      </c>
      <c r="Q369" s="4">
        <v>-1.9527423775778681</v>
      </c>
      <c r="R369" s="4">
        <v>-2.9981730932476718</v>
      </c>
      <c r="S369" s="2">
        <v>-2.5413333333333332</v>
      </c>
      <c r="T369" s="2">
        <v>-3.2881430369704452</v>
      </c>
      <c r="W369" s="4">
        <v>-1.462466851164262</v>
      </c>
      <c r="X369" s="4">
        <v>-1.822089847352196</v>
      </c>
      <c r="Y369" s="4">
        <v>-1.600758093176067</v>
      </c>
      <c r="Z369" s="4">
        <v>-2.1540874786163888</v>
      </c>
      <c r="AA369" s="2">
        <v>-1.770550000000001</v>
      </c>
      <c r="AB369" s="2">
        <v>-2.3309074337872402</v>
      </c>
    </row>
    <row r="370" spans="1:28" x14ac:dyDescent="0.2">
      <c r="A370" s="2">
        <v>89637</v>
      </c>
      <c r="B370" s="2" t="s">
        <v>618</v>
      </c>
      <c r="C370" s="2" t="s">
        <v>184</v>
      </c>
      <c r="D370" s="2" t="s">
        <v>58</v>
      </c>
      <c r="E370" s="2" t="s">
        <v>29</v>
      </c>
      <c r="G370" s="2" t="str">
        <f>IFERROR(VLOOKUP(F370,Picks!$A$2:$B$231,2,0),"")</f>
        <v/>
      </c>
      <c r="H370" s="2">
        <v>30</v>
      </c>
      <c r="I370" s="4">
        <v>0.78947368421052633</v>
      </c>
      <c r="J370" s="4">
        <v>2.75</v>
      </c>
      <c r="K370" s="4">
        <v>2.1710526315789469</v>
      </c>
      <c r="L370" s="4">
        <v>1.1361762693068309</v>
      </c>
      <c r="O370" s="4">
        <v>-1.42584177576853</v>
      </c>
      <c r="P370" s="4">
        <v>-1.521965940427082</v>
      </c>
      <c r="Q370" s="4">
        <v>-1.70889800078987</v>
      </c>
      <c r="R370" s="4">
        <v>-1.241567849882899</v>
      </c>
      <c r="S370" s="2">
        <v>-2.127333333333334</v>
      </c>
      <c r="T370" s="2">
        <v>-1.426567573508936</v>
      </c>
      <c r="W370" s="4">
        <v>-1.519094867247369</v>
      </c>
      <c r="X370" s="4">
        <v>-1.621505757174158</v>
      </c>
      <c r="Y370" s="4">
        <v>-1.944316916935297</v>
      </c>
      <c r="Z370" s="4">
        <v>-1.1372890175324499</v>
      </c>
      <c r="AA370" s="2">
        <v>-2.1505500000000008</v>
      </c>
      <c r="AB370" s="2">
        <v>-1.2306442758925029</v>
      </c>
    </row>
    <row r="371" spans="1:28" x14ac:dyDescent="0.2">
      <c r="A371" s="2">
        <v>110760</v>
      </c>
      <c r="B371" s="2" t="s">
        <v>618</v>
      </c>
      <c r="C371" s="2" t="s">
        <v>414</v>
      </c>
      <c r="D371" s="2" t="s">
        <v>26</v>
      </c>
      <c r="E371" s="2" t="s">
        <v>27</v>
      </c>
      <c r="G371" s="2" t="str">
        <f>IFERROR(VLOOKUP(F371,Picks!$A$2:$B$231,2,0),"")</f>
        <v/>
      </c>
      <c r="H371" s="2">
        <v>14</v>
      </c>
      <c r="I371" s="4">
        <v>0.63636363636363635</v>
      </c>
      <c r="J371" s="4">
        <v>2.81</v>
      </c>
      <c r="K371" s="4">
        <v>1.7881818181818181</v>
      </c>
      <c r="L371" s="4">
        <v>0.94771860948836673</v>
      </c>
      <c r="O371" s="4">
        <v>-2.0105990861686331</v>
      </c>
      <c r="P371" s="4">
        <v>-2.2567948926382608</v>
      </c>
      <c r="Q371" s="4">
        <v>-2.1986280914386702</v>
      </c>
      <c r="R371" s="4">
        <v>-2.3440450944376479</v>
      </c>
      <c r="S371" s="2">
        <v>-2.8613333333333331</v>
      </c>
      <c r="T371" s="2">
        <v>-2.5707506924728381</v>
      </c>
      <c r="W371" s="4">
        <v>-1.5417081580190519</v>
      </c>
      <c r="X371" s="4">
        <v>-1.730488748796895</v>
      </c>
      <c r="Y371" s="4">
        <v>-1.89007078686805</v>
      </c>
      <c r="Z371" s="4">
        <v>-1.491115691690162</v>
      </c>
      <c r="AA371" s="2">
        <v>-2.0905500000000008</v>
      </c>
      <c r="AB371" s="2">
        <v>-1.6135150892896331</v>
      </c>
    </row>
    <row r="372" spans="1:28" x14ac:dyDescent="0.2">
      <c r="A372" s="2">
        <v>141754</v>
      </c>
      <c r="B372" s="2" t="s">
        <v>618</v>
      </c>
      <c r="C372" s="2" t="s">
        <v>582</v>
      </c>
      <c r="D372" s="2" t="s">
        <v>50</v>
      </c>
      <c r="E372" s="2" t="s">
        <v>29</v>
      </c>
      <c r="G372" s="2" t="str">
        <f>IFERROR(VLOOKUP(F372,Picks!$A$2:$B$231,2,0),"")</f>
        <v/>
      </c>
      <c r="H372" s="2">
        <v>25</v>
      </c>
      <c r="I372" s="4">
        <v>0.65789473684210531</v>
      </c>
      <c r="J372" s="4">
        <v>2.78</v>
      </c>
      <c r="K372" s="4">
        <v>1.8289473684210531</v>
      </c>
      <c r="L372" s="4">
        <v>1.278300597749872</v>
      </c>
      <c r="O372" s="4">
        <v>-1.4596618365893741</v>
      </c>
      <c r="P372" s="4">
        <v>-1.626602633149449</v>
      </c>
      <c r="Q372" s="4">
        <v>-1.6847988437746571</v>
      </c>
      <c r="R372" s="4">
        <v>-1.5393083172116351</v>
      </c>
      <c r="S372" s="2">
        <v>-2.0973333333333342</v>
      </c>
      <c r="T372" s="2">
        <v>-1.7686728366668309</v>
      </c>
      <c r="W372" s="4">
        <v>-1.5539669171954711</v>
      </c>
      <c r="X372" s="4">
        <v>-1.731693338810202</v>
      </c>
      <c r="Y372" s="4">
        <v>-1.917193851901674</v>
      </c>
      <c r="Z372" s="4">
        <v>-1.4534425691729951</v>
      </c>
      <c r="AA372" s="2">
        <v>-2.120550000000001</v>
      </c>
      <c r="AB372" s="2">
        <v>-1.572749539050398</v>
      </c>
    </row>
    <row r="373" spans="1:28" x14ac:dyDescent="0.2">
      <c r="A373" s="2">
        <v>97868</v>
      </c>
      <c r="B373" s="2" t="s">
        <v>618</v>
      </c>
      <c r="C373" s="2" t="s">
        <v>262</v>
      </c>
      <c r="D373" s="2" t="s">
        <v>45</v>
      </c>
      <c r="E373" s="2" t="s">
        <v>37</v>
      </c>
      <c r="G373" s="2" t="str">
        <f>IFERROR(VLOOKUP(F373,Picks!$A$2:$B$231,2,0),"")</f>
        <v/>
      </c>
      <c r="H373" s="2">
        <v>13</v>
      </c>
      <c r="I373" s="4">
        <v>0.34210526315789469</v>
      </c>
      <c r="J373" s="4">
        <v>2.93</v>
      </c>
      <c r="K373" s="4">
        <v>1.002368421052632</v>
      </c>
      <c r="L373" s="4">
        <v>0.93803830444041014</v>
      </c>
      <c r="O373" s="4">
        <v>-3.1570439296102171</v>
      </c>
      <c r="P373" s="4">
        <v>-3.9333662073832221</v>
      </c>
      <c r="Q373" s="4">
        <v>-3.8306789316941749</v>
      </c>
      <c r="R373" s="4">
        <v>-4.0873971209167923</v>
      </c>
      <c r="S373" s="2">
        <v>-3.4075000000000002</v>
      </c>
      <c r="T373" s="2">
        <v>-3.723224696356275</v>
      </c>
      <c r="W373" s="4">
        <v>-1.569846551167025</v>
      </c>
      <c r="X373" s="4">
        <v>-1.9558743916179331</v>
      </c>
      <c r="Y373" s="4">
        <v>-1.781578526733556</v>
      </c>
      <c r="Z373" s="4">
        <v>-2.2173181889444979</v>
      </c>
      <c r="AA373" s="2">
        <v>-1.9705500000000009</v>
      </c>
      <c r="AB373" s="2">
        <v>-2.3993284864188191</v>
      </c>
    </row>
    <row r="374" spans="1:28" x14ac:dyDescent="0.2">
      <c r="A374" s="2">
        <v>108683</v>
      </c>
      <c r="B374" s="2" t="s">
        <v>618</v>
      </c>
      <c r="C374" s="2" t="s">
        <v>396</v>
      </c>
      <c r="D374" s="2" t="s">
        <v>65</v>
      </c>
      <c r="E374" s="2" t="s">
        <v>29</v>
      </c>
      <c r="G374" s="2" t="str">
        <f>IFERROR(VLOOKUP(F374,Picks!$A$2:$B$231,2,0),"")</f>
        <v/>
      </c>
      <c r="H374" s="2">
        <v>23</v>
      </c>
      <c r="I374" s="4">
        <v>0.60526315789473684</v>
      </c>
      <c r="J374" s="4">
        <v>2.78</v>
      </c>
      <c r="K374" s="4">
        <v>1.682631578947368</v>
      </c>
      <c r="L374" s="4">
        <v>0.91758093119441375</v>
      </c>
      <c r="O374" s="4">
        <v>-1.4788832034705359</v>
      </c>
      <c r="P374" s="4">
        <v>-1.677539156175534</v>
      </c>
      <c r="Q374" s="4">
        <v>-1.6847988437746571</v>
      </c>
      <c r="R374" s="4">
        <v>-1.6666496247768481</v>
      </c>
      <c r="S374" s="2">
        <v>-2.0973333333333342</v>
      </c>
      <c r="T374" s="2">
        <v>-1.9149886261405149</v>
      </c>
      <c r="W374" s="4">
        <v>-1.5743059782657289</v>
      </c>
      <c r="X374" s="4">
        <v>-1.7857799156447081</v>
      </c>
      <c r="Y374" s="4">
        <v>-1.917193851901674</v>
      </c>
      <c r="Z374" s="4">
        <v>-1.58865901125926</v>
      </c>
      <c r="AA374" s="2">
        <v>-2.120550000000001</v>
      </c>
      <c r="AB374" s="2">
        <v>-1.719065328524082</v>
      </c>
    </row>
    <row r="375" spans="1:28" x14ac:dyDescent="0.2">
      <c r="A375" s="2">
        <v>98720</v>
      </c>
      <c r="B375" s="2" t="s">
        <v>618</v>
      </c>
      <c r="C375" s="2" t="s">
        <v>273</v>
      </c>
      <c r="D375" s="2" t="s">
        <v>99</v>
      </c>
      <c r="E375" s="2" t="s">
        <v>37</v>
      </c>
      <c r="G375" s="2" t="str">
        <f>IFERROR(VLOOKUP(F375,Picks!$A$2:$B$231,2,0),"")</f>
        <v/>
      </c>
      <c r="H375" s="2">
        <v>28</v>
      </c>
      <c r="I375" s="4">
        <v>0.73684210526315785</v>
      </c>
      <c r="J375" s="4">
        <v>2.68</v>
      </c>
      <c r="K375" s="4">
        <v>1.9747368421052629</v>
      </c>
      <c r="L375" s="4">
        <v>0.80762757779169025</v>
      </c>
      <c r="O375" s="4">
        <v>-3.3848721646137112</v>
      </c>
      <c r="P375" s="4">
        <v>-3.6750040644377431</v>
      </c>
      <c r="Q375" s="4">
        <v>-4.1117265422366671</v>
      </c>
      <c r="R375" s="4">
        <v>-3.0199203477393568</v>
      </c>
      <c r="S375" s="2">
        <v>-3.6575000000000002</v>
      </c>
      <c r="T375" s="2">
        <v>-2.7508562753036441</v>
      </c>
      <c r="W375" s="4">
        <v>-1.5953068600688229</v>
      </c>
      <c r="X375" s="4">
        <v>-1.7320474480747221</v>
      </c>
      <c r="Y375" s="4">
        <v>-2.007604068680418</v>
      </c>
      <c r="Z375" s="4">
        <v>-1.318712517166178</v>
      </c>
      <c r="AA375" s="2">
        <v>-2.2205500000000011</v>
      </c>
      <c r="AB375" s="2">
        <v>-1.426960065366188</v>
      </c>
    </row>
    <row r="376" spans="1:28" x14ac:dyDescent="0.2">
      <c r="A376" s="2">
        <v>71709</v>
      </c>
      <c r="B376" s="2" t="s">
        <v>618</v>
      </c>
      <c r="C376" s="2" t="s">
        <v>86</v>
      </c>
      <c r="D376" s="2" t="s">
        <v>31</v>
      </c>
      <c r="E376" s="2" t="s">
        <v>29</v>
      </c>
      <c r="G376" s="2" t="str">
        <f>IFERROR(VLOOKUP(F376,Picks!$A$2:$B$231,2,0),"")</f>
        <v/>
      </c>
      <c r="H376" s="2">
        <v>16</v>
      </c>
      <c r="I376" s="4">
        <v>0.42105263157894729</v>
      </c>
      <c r="J376" s="4">
        <v>2.84</v>
      </c>
      <c r="K376" s="4">
        <v>1.1957894736842101</v>
      </c>
      <c r="L376" s="4">
        <v>1.2021230922315089</v>
      </c>
      <c r="O376" s="4">
        <v>-1.5023273835364901</v>
      </c>
      <c r="P376" s="4">
        <v>-1.818103203005943</v>
      </c>
      <c r="Q376" s="4">
        <v>-1.6366005297442321</v>
      </c>
      <c r="R376" s="4">
        <v>-2.0903572128985108</v>
      </c>
      <c r="S376" s="2">
        <v>-2.0373333333333341</v>
      </c>
      <c r="T376" s="2">
        <v>-2.4018307314036731</v>
      </c>
      <c r="W376" s="4">
        <v>-1.5974308474682131</v>
      </c>
      <c r="X376" s="4">
        <v>-1.933196566999748</v>
      </c>
      <c r="Y376" s="4">
        <v>-1.862947721834427</v>
      </c>
      <c r="Z376" s="4">
        <v>-2.038569834747729</v>
      </c>
      <c r="AA376" s="2">
        <v>-2.060550000000001</v>
      </c>
      <c r="AB376" s="2">
        <v>-2.2059074337872411</v>
      </c>
    </row>
    <row r="377" spans="1:28" x14ac:dyDescent="0.2">
      <c r="A377" s="2">
        <v>122897</v>
      </c>
      <c r="B377" s="2" t="s">
        <v>618</v>
      </c>
      <c r="C377" s="2" t="s">
        <v>497</v>
      </c>
      <c r="D377" s="2" t="s">
        <v>77</v>
      </c>
      <c r="E377" s="2" t="s">
        <v>53</v>
      </c>
      <c r="G377" s="2" t="str">
        <f>IFERROR(VLOOKUP(F377,Picks!$A$2:$B$231,2,0),"")</f>
        <v/>
      </c>
      <c r="H377" s="2">
        <v>23</v>
      </c>
      <c r="I377" s="4">
        <v>0.60526315789473684</v>
      </c>
      <c r="J377" s="4">
        <v>2.74</v>
      </c>
      <c r="K377" s="4">
        <v>1.658421052631579</v>
      </c>
      <c r="L377" s="4">
        <v>0.68798678615449171</v>
      </c>
      <c r="O377" s="4">
        <v>-3.8739477684693688</v>
      </c>
      <c r="P377" s="4">
        <v>-4.3943288119951056</v>
      </c>
      <c r="Q377" s="4">
        <v>-5.3349447726052643</v>
      </c>
      <c r="R377" s="4">
        <v>-2.9834048710798671</v>
      </c>
      <c r="S377" s="2">
        <v>-2.1169999999999991</v>
      </c>
      <c r="T377" s="2">
        <v>-1.6551841117433219</v>
      </c>
      <c r="W377" s="4">
        <v>-1.601324635841314</v>
      </c>
      <c r="X377" s="4">
        <v>-1.8164279451334311</v>
      </c>
      <c r="Y377" s="4">
        <v>-1.953357938613171</v>
      </c>
      <c r="Z377" s="4">
        <v>-1.6110329549138209</v>
      </c>
      <c r="AA377" s="2">
        <v>-2.1605500000000011</v>
      </c>
      <c r="AB377" s="2">
        <v>-1.7432758548398719</v>
      </c>
    </row>
    <row r="378" spans="1:28" x14ac:dyDescent="0.2">
      <c r="A378" s="2">
        <v>100987</v>
      </c>
      <c r="B378" s="2" t="s">
        <v>618</v>
      </c>
      <c r="C378" s="2" t="s">
        <v>293</v>
      </c>
      <c r="D378" s="2" t="s">
        <v>23</v>
      </c>
      <c r="E378" s="2" t="s">
        <v>29</v>
      </c>
      <c r="G378" s="2" t="str">
        <f>IFERROR(VLOOKUP(F378,Picks!$A$2:$B$231,2,0),"")</f>
        <v/>
      </c>
      <c r="H378" s="2">
        <v>20</v>
      </c>
      <c r="I378" s="4">
        <v>0.52631578947368418</v>
      </c>
      <c r="J378" s="4">
        <v>2.77</v>
      </c>
      <c r="K378" s="4">
        <v>1.4578947368421049</v>
      </c>
      <c r="L378" s="4">
        <v>0.73610838037133919</v>
      </c>
      <c r="O378" s="4">
        <v>-1.5104060602475231</v>
      </c>
      <c r="P378" s="4">
        <v>-1.760596021147419</v>
      </c>
      <c r="Q378" s="4">
        <v>-1.692831896113062</v>
      </c>
      <c r="R378" s="4">
        <v>-1.8622422086989561</v>
      </c>
      <c r="S378" s="2">
        <v>-2.1073333333333339</v>
      </c>
      <c r="T378" s="2">
        <v>-2.139725468245778</v>
      </c>
      <c r="W378" s="4">
        <v>-1.60793490809484</v>
      </c>
      <c r="X378" s="4">
        <v>-1.8742799542209789</v>
      </c>
      <c r="Y378" s="4">
        <v>-1.926234873579548</v>
      </c>
      <c r="Z378" s="4">
        <v>-1.7963475751831259</v>
      </c>
      <c r="AA378" s="2">
        <v>-2.1305500000000008</v>
      </c>
      <c r="AB378" s="2">
        <v>-1.943802170629346</v>
      </c>
    </row>
    <row r="379" spans="1:28" x14ac:dyDescent="0.2">
      <c r="A379" s="2">
        <v>107516</v>
      </c>
      <c r="B379" s="2" t="s">
        <v>618</v>
      </c>
      <c r="C379" s="2" t="s">
        <v>381</v>
      </c>
      <c r="D379" s="2" t="s">
        <v>63</v>
      </c>
      <c r="E379" s="2" t="s">
        <v>27</v>
      </c>
      <c r="G379" s="2" t="str">
        <f>IFERROR(VLOOKUP(F379,Picks!$A$2:$B$231,2,0),"")</f>
        <v/>
      </c>
      <c r="H379" s="2">
        <v>23</v>
      </c>
      <c r="I379" s="4">
        <v>0.60526315789473684</v>
      </c>
      <c r="J379" s="4">
        <v>2.72</v>
      </c>
      <c r="K379" s="4">
        <v>1.646315789473684</v>
      </c>
      <c r="L379" s="4">
        <v>0.6297259445914607</v>
      </c>
      <c r="O379" s="4">
        <v>-2.0717371930972202</v>
      </c>
      <c r="P379" s="4">
        <v>-2.3500302488863989</v>
      </c>
      <c r="Q379" s="4">
        <v>-2.2677834484620201</v>
      </c>
      <c r="R379" s="4">
        <v>-2.4734004495229671</v>
      </c>
      <c r="S379" s="2">
        <v>-2.9513333333333329</v>
      </c>
      <c r="T379" s="2">
        <v>-2.712616721180972</v>
      </c>
      <c r="W379" s="4">
        <v>-1.614833964629107</v>
      </c>
      <c r="X379" s="4">
        <v>-1.8317519598777929</v>
      </c>
      <c r="Y379" s="4">
        <v>-1.9714399819689199</v>
      </c>
      <c r="Z379" s="4">
        <v>-1.6222199267411019</v>
      </c>
      <c r="AA379" s="2">
        <v>-2.1805500000000011</v>
      </c>
      <c r="AB379" s="2">
        <v>-1.7553811179977661</v>
      </c>
    </row>
    <row r="380" spans="1:28" x14ac:dyDescent="0.2">
      <c r="A380" s="2">
        <v>87470</v>
      </c>
      <c r="B380" s="2" t="s">
        <v>618</v>
      </c>
      <c r="C380" s="2" t="s">
        <v>168</v>
      </c>
      <c r="D380" s="2" t="s">
        <v>50</v>
      </c>
      <c r="E380" s="2" t="s">
        <v>29</v>
      </c>
      <c r="G380" s="2" t="str">
        <f>IFERROR(VLOOKUP(F380,Picks!$A$2:$B$231,2,0),"")</f>
        <v/>
      </c>
      <c r="H380" s="2">
        <v>19</v>
      </c>
      <c r="I380" s="4">
        <v>0.5</v>
      </c>
      <c r="J380" s="4">
        <v>2.76</v>
      </c>
      <c r="K380" s="4">
        <v>1.38</v>
      </c>
      <c r="L380" s="4">
        <v>0.78022760840051297</v>
      </c>
      <c r="O380" s="4">
        <v>-1.5236531674617111</v>
      </c>
      <c r="P380" s="4">
        <v>-1.7925331381902481</v>
      </c>
      <c r="Q380" s="4">
        <v>-1.700864948451466</v>
      </c>
      <c r="R380" s="4">
        <v>-1.930035422798422</v>
      </c>
      <c r="S380" s="2">
        <v>-2.1173333333333342</v>
      </c>
      <c r="T380" s="2">
        <v>-2.2176202050878828</v>
      </c>
      <c r="W380" s="4">
        <v>-1.6222240309413209</v>
      </c>
      <c r="X380" s="4">
        <v>-1.908498859930966</v>
      </c>
      <c r="Y380" s="4">
        <v>-1.9352758952574229</v>
      </c>
      <c r="Z380" s="4">
        <v>-1.8683333069412811</v>
      </c>
      <c r="AA380" s="2">
        <v>-2.1405500000000011</v>
      </c>
      <c r="AB380" s="2">
        <v>-2.0216969074714508</v>
      </c>
    </row>
    <row r="381" spans="1:28" x14ac:dyDescent="0.2">
      <c r="A381" s="2">
        <v>84042</v>
      </c>
      <c r="B381" s="2" t="s">
        <v>618</v>
      </c>
      <c r="C381" s="2" t="s">
        <v>140</v>
      </c>
      <c r="D381" s="2" t="s">
        <v>50</v>
      </c>
      <c r="E381" s="2" t="s">
        <v>27</v>
      </c>
      <c r="G381" s="2" t="str">
        <f>IFERROR(VLOOKUP(F381,Picks!$A$2:$B$231,2,0),"")</f>
        <v/>
      </c>
      <c r="H381" s="2">
        <v>27</v>
      </c>
      <c r="I381" s="4">
        <v>0.71052631578947367</v>
      </c>
      <c r="J381" s="4">
        <v>2.56</v>
      </c>
      <c r="K381" s="4">
        <v>1.8189473684210531</v>
      </c>
      <c r="L381" s="4">
        <v>0.70524936824377993</v>
      </c>
      <c r="O381" s="4">
        <v>-2.1558131495011752</v>
      </c>
      <c r="P381" s="4">
        <v>-2.3608328438341402</v>
      </c>
      <c r="Q381" s="4">
        <v>-2.390726305392421</v>
      </c>
      <c r="R381" s="4">
        <v>-2.315992651496718</v>
      </c>
      <c r="S381" s="2">
        <v>-3.1113333333333331</v>
      </c>
      <c r="T381" s="2">
        <v>-2.5399851422336028</v>
      </c>
      <c r="W381" s="4">
        <v>-1.693662610994721</v>
      </c>
      <c r="X381" s="4">
        <v>-1.8547313895619431</v>
      </c>
      <c r="Y381" s="4">
        <v>-2.1160963288149119</v>
      </c>
      <c r="Z381" s="4">
        <v>-1.4626839806824881</v>
      </c>
      <c r="AA381" s="2">
        <v>-2.3405500000000008</v>
      </c>
      <c r="AB381" s="2">
        <v>-1.5827495390503981</v>
      </c>
    </row>
    <row r="382" spans="1:28" x14ac:dyDescent="0.2">
      <c r="A382" s="2">
        <v>94509</v>
      </c>
      <c r="B382" s="2" t="s">
        <v>618</v>
      </c>
      <c r="C382" s="2" t="s">
        <v>229</v>
      </c>
      <c r="D382" s="2" t="s">
        <v>65</v>
      </c>
      <c r="E382" s="2" t="s">
        <v>29</v>
      </c>
      <c r="G382" s="2" t="str">
        <f>IFERROR(VLOOKUP(F382,Picks!$A$2:$B$231,2,0),"")</f>
        <v/>
      </c>
      <c r="H382" s="2">
        <v>21</v>
      </c>
      <c r="I382" s="4">
        <v>0.55263157894736847</v>
      </c>
      <c r="J382" s="4">
        <v>2.62</v>
      </c>
      <c r="K382" s="4">
        <v>1.447894736842106</v>
      </c>
      <c r="L382" s="4">
        <v>0.76989593983812643</v>
      </c>
      <c r="O382" s="4">
        <v>-1.5899139415789241</v>
      </c>
      <c r="P382" s="4">
        <v>-1.836374765349517</v>
      </c>
      <c r="Q382" s="4">
        <v>-1.8133276811891259</v>
      </c>
      <c r="R382" s="4">
        <v>-1.8709453915901031</v>
      </c>
      <c r="S382" s="2">
        <v>-2.257333333333333</v>
      </c>
      <c r="T382" s="2">
        <v>-2.1497254682457769</v>
      </c>
      <c r="W382" s="4">
        <v>-1.6963808944250991</v>
      </c>
      <c r="X382" s="4">
        <v>-1.959345713925646</v>
      </c>
      <c r="Y382" s="4">
        <v>-2.0618501987476652</v>
      </c>
      <c r="Z382" s="4">
        <v>-1.805588986692618</v>
      </c>
      <c r="AA382" s="2">
        <v>-2.2805500000000012</v>
      </c>
      <c r="AB382" s="2">
        <v>-1.9538021706293449</v>
      </c>
    </row>
    <row r="383" spans="1:28" x14ac:dyDescent="0.2">
      <c r="A383" s="2">
        <v>92182</v>
      </c>
      <c r="B383" s="2" t="s">
        <v>618</v>
      </c>
      <c r="C383" s="2" t="s">
        <v>213</v>
      </c>
      <c r="D383" s="2" t="s">
        <v>58</v>
      </c>
      <c r="E383" s="2" t="s">
        <v>53</v>
      </c>
      <c r="G383" s="2" t="str">
        <f>IFERROR(VLOOKUP(F383,Picks!$A$2:$B$231,2,0),"")</f>
        <v/>
      </c>
      <c r="H383" s="2">
        <v>20</v>
      </c>
      <c r="I383" s="4">
        <v>0.54054054054054057</v>
      </c>
      <c r="J383" s="4">
        <v>2.54</v>
      </c>
      <c r="K383" s="4">
        <v>1.3729729729729729</v>
      </c>
      <c r="L383" s="4">
        <v>1.57010548410966</v>
      </c>
      <c r="O383" s="4">
        <v>-4.2267830791222734</v>
      </c>
      <c r="P383" s="4">
        <v>-4.9025383676339844</v>
      </c>
      <c r="Q383" s="4">
        <v>-5.8389546708202156</v>
      </c>
      <c r="R383" s="4">
        <v>-3.4979139128546359</v>
      </c>
      <c r="S383" s="2">
        <v>-2.3169999999999988</v>
      </c>
      <c r="T383" s="2">
        <v>-1.940632191401928</v>
      </c>
      <c r="W383" s="4">
        <v>-1.7505667576035979</v>
      </c>
      <c r="X383" s="4">
        <v>-2.0304379320167119</v>
      </c>
      <c r="Y383" s="4">
        <v>-2.1341783721706609</v>
      </c>
      <c r="Z383" s="4">
        <v>-1.874827271785789</v>
      </c>
      <c r="AA383" s="2">
        <v>-2.3605500000000008</v>
      </c>
      <c r="AB383" s="2">
        <v>-2.028723934498478</v>
      </c>
    </row>
    <row r="384" spans="1:28" x14ac:dyDescent="0.2">
      <c r="A384" s="2">
        <v>111831</v>
      </c>
      <c r="B384" s="2" t="s">
        <v>618</v>
      </c>
      <c r="C384" s="2" t="s">
        <v>426</v>
      </c>
      <c r="D384" s="2" t="s">
        <v>61</v>
      </c>
      <c r="E384" s="2" t="s">
        <v>27</v>
      </c>
      <c r="G384" s="2" t="str">
        <f>IFERROR(VLOOKUP(F384,Picks!$A$2:$B$231,2,0),"")</f>
        <v/>
      </c>
      <c r="H384" s="2">
        <v>13</v>
      </c>
      <c r="I384" s="4">
        <v>0.34210526315789469</v>
      </c>
      <c r="J384" s="4">
        <v>2.59</v>
      </c>
      <c r="K384" s="4">
        <v>0.88605263157894731</v>
      </c>
      <c r="L384" s="4">
        <v>0.69125589212143645</v>
      </c>
      <c r="O384" s="4">
        <v>-2.156873448315392</v>
      </c>
      <c r="P384" s="4">
        <v>-2.6872521651142578</v>
      </c>
      <c r="Q384" s="4">
        <v>-2.3676745197179709</v>
      </c>
      <c r="R384" s="4">
        <v>-3.1666186332086892</v>
      </c>
      <c r="S384" s="2">
        <v>-3.0813333333333328</v>
      </c>
      <c r="T384" s="2">
        <v>-3.4728798790757081</v>
      </c>
      <c r="W384" s="4">
        <v>-1.752392041171722</v>
      </c>
      <c r="X384" s="4">
        <v>-2.1833081168696871</v>
      </c>
      <c r="Y384" s="4">
        <v>-2.088973263781289</v>
      </c>
      <c r="Z384" s="4">
        <v>-2.3248103965022842</v>
      </c>
      <c r="AA384" s="2">
        <v>-2.310550000000001</v>
      </c>
      <c r="AB384" s="2">
        <v>-2.5156442758925039</v>
      </c>
    </row>
    <row r="385" spans="1:28" x14ac:dyDescent="0.2">
      <c r="A385" s="2">
        <v>122781</v>
      </c>
      <c r="B385" s="2" t="s">
        <v>618</v>
      </c>
      <c r="C385" s="2" t="s">
        <v>496</v>
      </c>
      <c r="D385" s="2" t="s">
        <v>50</v>
      </c>
      <c r="E385" s="2" t="s">
        <v>27</v>
      </c>
      <c r="G385" s="2" t="str">
        <f>IFERROR(VLOOKUP(F385,Picks!$A$2:$B$231,2,0),"")</f>
        <v/>
      </c>
      <c r="H385" s="2">
        <v>12</v>
      </c>
      <c r="I385" s="4">
        <v>0.54545454545454541</v>
      </c>
      <c r="J385" s="4">
        <v>2.5299999999999998</v>
      </c>
      <c r="K385" s="4">
        <v>1.38</v>
      </c>
      <c r="L385" s="4">
        <v>0.95575540713531859</v>
      </c>
      <c r="O385" s="4">
        <v>-2.1891101866377278</v>
      </c>
      <c r="P385" s="4">
        <v>-2.5347591634752642</v>
      </c>
      <c r="Q385" s="4">
        <v>-2.413778091066872</v>
      </c>
      <c r="R385" s="4">
        <v>-2.7162307720878509</v>
      </c>
      <c r="S385" s="2">
        <v>-3.1413333333333329</v>
      </c>
      <c r="T385" s="2">
        <v>-2.9789325106546558</v>
      </c>
      <c r="W385" s="4">
        <v>-1.7560015555739561</v>
      </c>
      <c r="X385" s="4">
        <v>-2.033264959085634</v>
      </c>
      <c r="Y385" s="4">
        <v>-2.1432193938485362</v>
      </c>
      <c r="Z385" s="4">
        <v>-1.8683333069412811</v>
      </c>
      <c r="AA385" s="2">
        <v>-2.370550000000001</v>
      </c>
      <c r="AB385" s="2">
        <v>-2.0216969074714508</v>
      </c>
    </row>
    <row r="386" spans="1:28" x14ac:dyDescent="0.2">
      <c r="A386" s="2">
        <v>133543</v>
      </c>
      <c r="B386" s="2" t="s">
        <v>618</v>
      </c>
      <c r="C386" s="2" t="s">
        <v>562</v>
      </c>
      <c r="D386" s="2" t="s">
        <v>99</v>
      </c>
      <c r="E386" s="2" t="s">
        <v>27</v>
      </c>
      <c r="G386" s="2" t="str">
        <f>IFERROR(VLOOKUP(F386,Picks!$A$2:$B$231,2,0),"")</f>
        <v/>
      </c>
      <c r="H386" s="2">
        <v>22</v>
      </c>
      <c r="I386" s="4">
        <v>0.57894736842105265</v>
      </c>
      <c r="J386" s="4">
        <v>2.4300000000000002</v>
      </c>
      <c r="K386" s="4">
        <v>1.4068421052631579</v>
      </c>
      <c r="L386" s="4">
        <v>1.4756078623062909</v>
      </c>
      <c r="O386" s="4">
        <v>-2.246305654981867</v>
      </c>
      <c r="P386" s="4">
        <v>-2.5710727376298479</v>
      </c>
      <c r="Q386" s="4">
        <v>-2.4906173766483719</v>
      </c>
      <c r="R386" s="4">
        <v>-2.6917557791020621</v>
      </c>
      <c r="S386" s="2">
        <v>-3.241333333333333</v>
      </c>
      <c r="T386" s="2">
        <v>-2.9520904053914969</v>
      </c>
      <c r="W386" s="4">
        <v>-1.815156470707046</v>
      </c>
      <c r="X386" s="4">
        <v>-2.0775887315321619</v>
      </c>
      <c r="Y386" s="4">
        <v>-2.2336296106272799</v>
      </c>
      <c r="Z386" s="4">
        <v>-1.8435274128894841</v>
      </c>
      <c r="AA386" s="2">
        <v>-2.4705500000000011</v>
      </c>
      <c r="AB386" s="2">
        <v>-1.994854802208293</v>
      </c>
    </row>
    <row r="387" spans="1:28" x14ac:dyDescent="0.2">
      <c r="A387" s="2">
        <v>87258</v>
      </c>
      <c r="B387" s="2" t="s">
        <v>618</v>
      </c>
      <c r="C387" s="2" t="s">
        <v>166</v>
      </c>
      <c r="D387" s="2" t="s">
        <v>23</v>
      </c>
      <c r="E387" s="2" t="s">
        <v>27</v>
      </c>
      <c r="G387" s="2" t="str">
        <f>IFERROR(VLOOKUP(F387,Picks!$A$2:$B$231,2,0),"")</f>
        <v/>
      </c>
      <c r="H387" s="2">
        <v>21</v>
      </c>
      <c r="I387" s="4">
        <v>0.55263157894736847</v>
      </c>
      <c r="J387" s="4">
        <v>2.36</v>
      </c>
      <c r="K387" s="4">
        <v>1.304210526315789</v>
      </c>
      <c r="L387" s="4">
        <v>0.47422145525081327</v>
      </c>
      <c r="O387" s="4">
        <v>-2.2863574309214019</v>
      </c>
      <c r="P387" s="4">
        <v>-2.6407775797876369</v>
      </c>
      <c r="Q387" s="4">
        <v>-2.5444048765554221</v>
      </c>
      <c r="R387" s="4">
        <v>-2.7853366346359598</v>
      </c>
      <c r="S387" s="2">
        <v>-3.3113333333333328</v>
      </c>
      <c r="T387" s="2">
        <v>-3.0547219843388662</v>
      </c>
      <c r="W387" s="4">
        <v>-1.8644771543350971</v>
      </c>
      <c r="X387" s="4">
        <v>-2.1534994487760999</v>
      </c>
      <c r="Y387" s="4">
        <v>-2.2969167623724021</v>
      </c>
      <c r="Z387" s="4">
        <v>-1.938373478381648</v>
      </c>
      <c r="AA387" s="2">
        <v>-2.540550000000001</v>
      </c>
      <c r="AB387" s="2">
        <v>-2.0974863811556612</v>
      </c>
    </row>
    <row r="388" spans="1:28" x14ac:dyDescent="0.2">
      <c r="A388" s="2">
        <v>113157</v>
      </c>
      <c r="B388" s="2" t="s">
        <v>618</v>
      </c>
      <c r="C388" s="2" t="s">
        <v>441</v>
      </c>
      <c r="D388" s="2" t="s">
        <v>77</v>
      </c>
      <c r="E388" s="2" t="s">
        <v>37</v>
      </c>
      <c r="G388" s="2" t="str">
        <f>IFERROR(VLOOKUP(F388,Picks!$A$2:$B$231,2,0),"")</f>
        <v/>
      </c>
      <c r="H388" s="2">
        <v>17</v>
      </c>
      <c r="I388" s="4">
        <v>0.44736842105263158</v>
      </c>
      <c r="J388" s="4">
        <v>2.3199999999999998</v>
      </c>
      <c r="K388" s="4">
        <v>1.037894736842105</v>
      </c>
      <c r="L388" s="4">
        <v>1.3367397335384641</v>
      </c>
      <c r="O388" s="4">
        <v>-3.6114804248712802</v>
      </c>
      <c r="P388" s="4">
        <v>-4.3292194367542152</v>
      </c>
      <c r="Q388" s="4">
        <v>-4.5164351014178568</v>
      </c>
      <c r="R388" s="4">
        <v>-4.0483959397587537</v>
      </c>
      <c r="S388" s="2">
        <v>-4.0175000000000001</v>
      </c>
      <c r="T388" s="2">
        <v>-3.6876983805668009</v>
      </c>
      <c r="W388" s="4">
        <v>-1.8966971346419299</v>
      </c>
      <c r="X388" s="4">
        <v>-2.2736432528830699</v>
      </c>
      <c r="Y388" s="4">
        <v>-2.3330808490838999</v>
      </c>
      <c r="Z388" s="4">
        <v>-2.1844868585818258</v>
      </c>
      <c r="AA388" s="2">
        <v>-2.580550000000001</v>
      </c>
      <c r="AB388" s="2">
        <v>-2.3638021706293459</v>
      </c>
    </row>
    <row r="389" spans="1:28" x14ac:dyDescent="0.2">
      <c r="A389" s="2">
        <v>124271</v>
      </c>
      <c r="B389" s="2" t="s">
        <v>618</v>
      </c>
      <c r="C389" s="2" t="s">
        <v>510</v>
      </c>
      <c r="D389" s="2" t="s">
        <v>58</v>
      </c>
      <c r="E389" s="2" t="s">
        <v>29</v>
      </c>
      <c r="G389" s="2" t="str">
        <f>IFERROR(VLOOKUP(F389,Picks!$A$2:$B$231,2,0),"")</f>
        <v/>
      </c>
      <c r="H389" s="2">
        <v>17</v>
      </c>
      <c r="I389" s="4">
        <v>0.44736842105263158</v>
      </c>
      <c r="J389" s="4">
        <v>2.2999999999999998</v>
      </c>
      <c r="K389" s="4">
        <v>1.0289473684210531</v>
      </c>
      <c r="L389" s="4">
        <v>1.128664917068541</v>
      </c>
      <c r="O389" s="4">
        <v>-1.782254412065454</v>
      </c>
      <c r="P389" s="4">
        <v>-2.136456393012216</v>
      </c>
      <c r="Q389" s="4">
        <v>-2.070385356018063</v>
      </c>
      <c r="R389" s="4">
        <v>-2.2355629485034472</v>
      </c>
      <c r="S389" s="2">
        <v>-2.5773333333333341</v>
      </c>
      <c r="T389" s="2">
        <v>-2.5686728366668299</v>
      </c>
      <c r="W389" s="4">
        <v>-1.908506784909086</v>
      </c>
      <c r="X389" s="4">
        <v>-2.287799931436759</v>
      </c>
      <c r="Y389" s="4">
        <v>-2.3511628924396488</v>
      </c>
      <c r="Z389" s="4">
        <v>-2.1927554899324249</v>
      </c>
      <c r="AA389" s="2">
        <v>-2.600550000000001</v>
      </c>
      <c r="AB389" s="2">
        <v>-2.3727495390503979</v>
      </c>
    </row>
    <row r="390" spans="1:28" x14ac:dyDescent="0.2">
      <c r="A390" s="2">
        <v>100969</v>
      </c>
      <c r="B390" s="2" t="s">
        <v>618</v>
      </c>
      <c r="C390" s="2" t="s">
        <v>292</v>
      </c>
      <c r="D390" s="2" t="s">
        <v>33</v>
      </c>
      <c r="E390" s="2" t="s">
        <v>29</v>
      </c>
      <c r="G390" s="2" t="str">
        <f>IFERROR(VLOOKUP(F390,Picks!$A$2:$B$231,2,0),"")</f>
        <v/>
      </c>
      <c r="H390" s="2">
        <v>29</v>
      </c>
      <c r="I390" s="4">
        <v>0.76315789473684215</v>
      </c>
      <c r="J390" s="4">
        <v>2.25</v>
      </c>
      <c r="K390" s="4">
        <v>1.7171052631578949</v>
      </c>
      <c r="L390" s="4">
        <v>1.1135150602814869</v>
      </c>
      <c r="O390" s="4">
        <v>-1.784497666461659</v>
      </c>
      <c r="P390" s="4">
        <v>-1.9209889893921539</v>
      </c>
      <c r="Q390" s="4">
        <v>-2.1105506177100839</v>
      </c>
      <c r="R390" s="4">
        <v>-1.63664654691526</v>
      </c>
      <c r="S390" s="2">
        <v>-2.627333333333334</v>
      </c>
      <c r="T390" s="2">
        <v>-1.880514941929988</v>
      </c>
      <c r="W390" s="4">
        <v>-1.914134125464791</v>
      </c>
      <c r="X390" s="4">
        <v>-2.060540984919605</v>
      </c>
      <c r="Y390" s="4">
        <v>-2.3963680008290211</v>
      </c>
      <c r="Z390" s="4">
        <v>-1.5568004610554811</v>
      </c>
      <c r="AA390" s="2">
        <v>-2.6505500000000008</v>
      </c>
      <c r="AB390" s="2">
        <v>-1.684591644313556</v>
      </c>
    </row>
    <row r="391" spans="1:28" x14ac:dyDescent="0.2">
      <c r="A391" s="2">
        <v>108548</v>
      </c>
      <c r="B391" s="2" t="s">
        <v>618</v>
      </c>
      <c r="C391" s="2" t="s">
        <v>393</v>
      </c>
      <c r="D391" s="2" t="s">
        <v>31</v>
      </c>
      <c r="E391" s="2" t="s">
        <v>27</v>
      </c>
      <c r="G391" s="2" t="str">
        <f>IFERROR(VLOOKUP(F391,Picks!$A$2:$B$231,2,0),"")</f>
        <v/>
      </c>
      <c r="H391" s="2">
        <v>22</v>
      </c>
      <c r="I391" s="4">
        <v>0.57894736842105265</v>
      </c>
      <c r="J391" s="4">
        <v>2.2599999999999998</v>
      </c>
      <c r="K391" s="4">
        <v>1.3084210526315789</v>
      </c>
      <c r="L391" s="4">
        <v>0.72355142969124897</v>
      </c>
      <c r="O391" s="4">
        <v>-2.346143932842919</v>
      </c>
      <c r="P391" s="4">
        <v>-2.6853454653021349</v>
      </c>
      <c r="Q391" s="4">
        <v>-2.6212441621369229</v>
      </c>
      <c r="R391" s="4">
        <v>-2.7814974200499538</v>
      </c>
      <c r="S391" s="2">
        <v>-3.4113333333333329</v>
      </c>
      <c r="T391" s="2">
        <v>-3.050511458023077</v>
      </c>
      <c r="W391" s="4">
        <v>-1.927512608830491</v>
      </c>
      <c r="X391" s="4">
        <v>-2.206189130589117</v>
      </c>
      <c r="Y391" s="4">
        <v>-2.3873269791511471</v>
      </c>
      <c r="Z391" s="4">
        <v>-1.9344823577460719</v>
      </c>
      <c r="AA391" s="2">
        <v>-2.6405500000000011</v>
      </c>
      <c r="AB391" s="2">
        <v>-2.093275854839872</v>
      </c>
    </row>
    <row r="392" spans="1:28" x14ac:dyDescent="0.2">
      <c r="A392" s="2">
        <v>83048</v>
      </c>
      <c r="B392" s="2" t="s">
        <v>618</v>
      </c>
      <c r="C392" s="2" t="s">
        <v>134</v>
      </c>
      <c r="D392" s="2" t="s">
        <v>63</v>
      </c>
      <c r="E392" s="2" t="s">
        <v>53</v>
      </c>
      <c r="G392" s="2" t="str">
        <f>IFERROR(VLOOKUP(F392,Picks!$A$2:$B$231,2,0),"")</f>
        <v/>
      </c>
      <c r="H392" s="2">
        <v>21</v>
      </c>
      <c r="I392" s="4">
        <v>0.55263157894736847</v>
      </c>
      <c r="J392" s="4">
        <v>2.2200000000000002</v>
      </c>
      <c r="K392" s="4">
        <v>1.226842105263158</v>
      </c>
      <c r="L392" s="4">
        <v>1.611252947163776</v>
      </c>
      <c r="O392" s="4">
        <v>-4.7546958339969141</v>
      </c>
      <c r="P392" s="4">
        <v>-5.491745948081542</v>
      </c>
      <c r="Q392" s="4">
        <v>-6.6453705079641399</v>
      </c>
      <c r="R392" s="4">
        <v>-3.7613091082576462</v>
      </c>
      <c r="S392" s="2">
        <v>-2.6369999999999991</v>
      </c>
      <c r="T392" s="2">
        <v>-2.086763059111743</v>
      </c>
      <c r="W392" s="4">
        <v>-1.954990525055865</v>
      </c>
      <c r="X392" s="4">
        <v>-2.2580437675417291</v>
      </c>
      <c r="Y392" s="4">
        <v>-2.423491065862645</v>
      </c>
      <c r="Z392" s="4">
        <v>-2.0098728200603548</v>
      </c>
      <c r="AA392" s="2">
        <v>-2.6805500000000011</v>
      </c>
      <c r="AB392" s="2">
        <v>-2.174854802208293</v>
      </c>
    </row>
    <row r="393" spans="1:28" x14ac:dyDescent="0.2">
      <c r="A393" s="2">
        <v>115914</v>
      </c>
      <c r="B393" s="2" t="s">
        <v>618</v>
      </c>
      <c r="C393" s="2" t="s">
        <v>457</v>
      </c>
      <c r="D393" s="2" t="s">
        <v>47</v>
      </c>
      <c r="E393" s="2" t="s">
        <v>29</v>
      </c>
      <c r="G393" s="2" t="str">
        <f>IFERROR(VLOOKUP(F393,Picks!$A$2:$B$231,2,0),"")</f>
        <v/>
      </c>
      <c r="H393" s="2">
        <v>15</v>
      </c>
      <c r="I393" s="4">
        <v>0.39473684210526322</v>
      </c>
      <c r="J393" s="4">
        <v>2.21</v>
      </c>
      <c r="K393" s="4">
        <v>0.87236842105263157</v>
      </c>
      <c r="L393" s="4">
        <v>1.182909834127553</v>
      </c>
      <c r="O393" s="4">
        <v>-1.828634401076576</v>
      </c>
      <c r="P393" s="4">
        <v>-2.2343442842736301</v>
      </c>
      <c r="Q393" s="4">
        <v>-2.1426828270637008</v>
      </c>
      <c r="R393" s="4">
        <v>-2.3718364700885219</v>
      </c>
      <c r="S393" s="2">
        <v>-2.667333333333334</v>
      </c>
      <c r="T393" s="2">
        <v>-2.725251784035251</v>
      </c>
      <c r="W393" s="4">
        <v>-1.9597107392971269</v>
      </c>
      <c r="X393" s="4">
        <v>-2.3945018679514729</v>
      </c>
      <c r="Y393" s="4">
        <v>-2.432532087540519</v>
      </c>
      <c r="Z393" s="4">
        <v>-2.3374565385679049</v>
      </c>
      <c r="AA393" s="2">
        <v>-2.6905500000000009</v>
      </c>
      <c r="AB393" s="2">
        <v>-2.529328486418819</v>
      </c>
    </row>
    <row r="394" spans="1:28" x14ac:dyDescent="0.2">
      <c r="A394" s="2">
        <v>122573</v>
      </c>
      <c r="B394" s="2" t="s">
        <v>618</v>
      </c>
      <c r="C394" s="2" t="s">
        <v>493</v>
      </c>
      <c r="D394" s="2" t="s">
        <v>47</v>
      </c>
      <c r="E394" s="2" t="s">
        <v>27</v>
      </c>
      <c r="G394" s="2" t="str">
        <f>IFERROR(VLOOKUP(F394,Picks!$A$2:$B$231,2,0),"")</f>
        <v/>
      </c>
      <c r="H394" s="2">
        <v>14</v>
      </c>
      <c r="I394" s="4">
        <v>0.36842105263157893</v>
      </c>
      <c r="J394" s="4">
        <v>2.1800000000000002</v>
      </c>
      <c r="K394" s="4">
        <v>0.80315789473684207</v>
      </c>
      <c r="L394" s="4">
        <v>0.73716002844641426</v>
      </c>
      <c r="O394" s="4">
        <v>-2.355803346665633</v>
      </c>
      <c r="P394" s="4">
        <v>-2.9065106225095469</v>
      </c>
      <c r="Q394" s="4">
        <v>-2.6827155906021232</v>
      </c>
      <c r="R394" s="4">
        <v>-3.2422031703706842</v>
      </c>
      <c r="S394" s="2">
        <v>-3.491333333333333</v>
      </c>
      <c r="T394" s="2">
        <v>-3.5557746159178141</v>
      </c>
      <c r="W394" s="4">
        <v>-1.9747337530167699</v>
      </c>
      <c r="X394" s="4">
        <v>-2.4363598251505598</v>
      </c>
      <c r="Y394" s="4">
        <v>-2.4596551525741419</v>
      </c>
      <c r="Z394" s="4">
        <v>-2.4014168340151851</v>
      </c>
      <c r="AA394" s="2">
        <v>-2.7205500000000011</v>
      </c>
      <c r="AB394" s="2">
        <v>-2.5985390127346091</v>
      </c>
    </row>
    <row r="395" spans="1:28" x14ac:dyDescent="0.2">
      <c r="A395" s="2">
        <v>118563</v>
      </c>
      <c r="B395" s="2" t="s">
        <v>618</v>
      </c>
      <c r="C395" s="2" t="s">
        <v>454</v>
      </c>
      <c r="D395" s="2" t="s">
        <v>52</v>
      </c>
      <c r="E395" s="2" t="s">
        <v>29</v>
      </c>
      <c r="G395" s="2" t="str">
        <f>IFERROR(VLOOKUP(F395,Picks!$A$2:$B$231,2,0),"")</f>
        <v/>
      </c>
      <c r="H395" s="2">
        <v>18</v>
      </c>
      <c r="I395" s="4">
        <v>0.47368421052631582</v>
      </c>
      <c r="J395" s="4">
        <v>2.16</v>
      </c>
      <c r="K395" s="4">
        <v>1.023157894736842</v>
      </c>
      <c r="L395" s="4">
        <v>1.2556550035375811</v>
      </c>
      <c r="O395" s="4">
        <v>-1.857641689757894</v>
      </c>
      <c r="P395" s="4">
        <v>-2.205949506587499</v>
      </c>
      <c r="Q395" s="4">
        <v>-2.1828480887557231</v>
      </c>
      <c r="R395" s="4">
        <v>-2.240601633335165</v>
      </c>
      <c r="S395" s="2">
        <v>-2.7173333333333329</v>
      </c>
      <c r="T395" s="2">
        <v>-2.5744623103510409</v>
      </c>
      <c r="W395" s="4">
        <v>-1.9923238988467129</v>
      </c>
      <c r="X395" s="4">
        <v>-2.3658846298804721</v>
      </c>
      <c r="Y395" s="4">
        <v>-2.4777371959298908</v>
      </c>
      <c r="Z395" s="4">
        <v>-2.1981057808063418</v>
      </c>
      <c r="AA395" s="2">
        <v>-2.7405500000000012</v>
      </c>
      <c r="AB395" s="2">
        <v>-2.3785390127346089</v>
      </c>
    </row>
    <row r="396" spans="1:28" x14ac:dyDescent="0.2">
      <c r="A396" s="2">
        <v>115141</v>
      </c>
      <c r="B396" s="2" t="s">
        <v>618</v>
      </c>
      <c r="C396" s="2" t="s">
        <v>450</v>
      </c>
      <c r="D396" s="2" t="s">
        <v>67</v>
      </c>
      <c r="E396" s="2" t="s">
        <v>53</v>
      </c>
      <c r="G396" s="2" t="str">
        <f>IFERROR(VLOOKUP(F396,Picks!$A$2:$B$231,2,0),"")</f>
        <v/>
      </c>
      <c r="H396" s="2">
        <v>18</v>
      </c>
      <c r="I396" s="4">
        <v>0.47368421052631582</v>
      </c>
      <c r="J396" s="4">
        <v>2.14</v>
      </c>
      <c r="K396" s="4">
        <v>1.013684210526316</v>
      </c>
      <c r="L396" s="4">
        <v>0.61960714622026924</v>
      </c>
      <c r="O396" s="4">
        <v>-4.8559089209944712</v>
      </c>
      <c r="P396" s="4">
        <v>-5.7663918436809354</v>
      </c>
      <c r="Q396" s="4">
        <v>-6.8469744672501207</v>
      </c>
      <c r="R396" s="4">
        <v>-4.1455179083271583</v>
      </c>
      <c r="S396" s="2">
        <v>-2.7169999999999992</v>
      </c>
      <c r="T396" s="2">
        <v>-2.2999209538485852</v>
      </c>
      <c r="W396" s="4">
        <v>-2.0044091490239491</v>
      </c>
      <c r="X396" s="4">
        <v>-2.3802358644659392</v>
      </c>
      <c r="Y396" s="4">
        <v>-2.4958192392856402</v>
      </c>
      <c r="Z396" s="4">
        <v>-2.2068608022363878</v>
      </c>
      <c r="AA396" s="2">
        <v>-2.7605500000000012</v>
      </c>
      <c r="AB396" s="2">
        <v>-2.3880126969451352</v>
      </c>
    </row>
    <row r="397" spans="1:28" x14ac:dyDescent="0.2">
      <c r="A397" s="2">
        <v>101752</v>
      </c>
      <c r="B397" s="2" t="s">
        <v>618</v>
      </c>
      <c r="C397" s="2" t="s">
        <v>307</v>
      </c>
      <c r="D397" s="2" t="s">
        <v>33</v>
      </c>
      <c r="E397" s="2" t="s">
        <v>37</v>
      </c>
      <c r="G397" s="2" t="str">
        <f>IFERROR(VLOOKUP(F397,Picks!$A$2:$B$231,2,0),"")</f>
        <v/>
      </c>
      <c r="H397" s="2">
        <v>15</v>
      </c>
      <c r="I397" s="4">
        <v>0.39473684210526322</v>
      </c>
      <c r="J397" s="4">
        <v>2.08</v>
      </c>
      <c r="K397" s="4">
        <v>0.82105263157894737</v>
      </c>
      <c r="L397" s="4">
        <v>0.56029330867827098</v>
      </c>
      <c r="O397" s="4">
        <v>-3.7535437245677992</v>
      </c>
      <c r="P397" s="4">
        <v>-4.5863235219799474</v>
      </c>
      <c r="Q397" s="4">
        <v>-4.7862408075386504</v>
      </c>
      <c r="R397" s="4">
        <v>-4.2864475936418946</v>
      </c>
      <c r="S397" s="2">
        <v>-4.2575000000000003</v>
      </c>
      <c r="T397" s="2">
        <v>-3.9045404858299588</v>
      </c>
      <c r="W397" s="4">
        <v>-2.0329505699808128</v>
      </c>
      <c r="X397" s="4">
        <v>-2.4839910501373281</v>
      </c>
      <c r="Y397" s="4">
        <v>-2.550065369352887</v>
      </c>
      <c r="Z397" s="4">
        <v>-2.384879571313987</v>
      </c>
      <c r="AA397" s="2">
        <v>-2.8205500000000008</v>
      </c>
      <c r="AB397" s="2">
        <v>-2.580644275892503</v>
      </c>
    </row>
    <row r="398" spans="1:28" x14ac:dyDescent="0.2">
      <c r="A398" s="2">
        <v>87342</v>
      </c>
      <c r="B398" s="2" t="s">
        <v>618</v>
      </c>
      <c r="C398" s="2" t="s">
        <v>167</v>
      </c>
      <c r="D398" s="2" t="s">
        <v>31</v>
      </c>
      <c r="E398" s="2" t="s">
        <v>53</v>
      </c>
      <c r="G398" s="2" t="str">
        <f>IFERROR(VLOOKUP(F398,Picks!$A$2:$B$231,2,0),"")</f>
        <v/>
      </c>
      <c r="H398" s="2">
        <v>17</v>
      </c>
      <c r="I398" s="4">
        <v>0.44736842105263158</v>
      </c>
      <c r="J398" s="4">
        <v>2.06</v>
      </c>
      <c r="K398" s="4">
        <v>0.92157894736842105</v>
      </c>
      <c r="L398" s="4">
        <v>1.228241320967506</v>
      </c>
      <c r="O398" s="4">
        <v>-4.9666898291895896</v>
      </c>
      <c r="P398" s="4">
        <v>-5.953760678523798</v>
      </c>
      <c r="Q398" s="4">
        <v>-7.0485784265361016</v>
      </c>
      <c r="R398" s="4">
        <v>-4.3115340565053426</v>
      </c>
      <c r="S398" s="2">
        <v>-2.7969999999999988</v>
      </c>
      <c r="T398" s="2">
        <v>-2.3920262170064799</v>
      </c>
      <c r="W398" s="4">
        <v>-2.0502225881149618</v>
      </c>
      <c r="X398" s="4">
        <v>-2.457680074081027</v>
      </c>
      <c r="Y398" s="4">
        <v>-2.5681474127086359</v>
      </c>
      <c r="Z398" s="4">
        <v>-2.291979066139612</v>
      </c>
      <c r="AA398" s="2">
        <v>-2.8405500000000008</v>
      </c>
      <c r="AB398" s="2">
        <v>-2.4801179601030299</v>
      </c>
    </row>
    <row r="399" spans="1:28" x14ac:dyDescent="0.2">
      <c r="A399" s="2">
        <v>111829</v>
      </c>
      <c r="B399" s="2" t="s">
        <v>618</v>
      </c>
      <c r="C399" s="2" t="s">
        <v>425</v>
      </c>
      <c r="D399" s="2" t="s">
        <v>45</v>
      </c>
      <c r="E399" s="2" t="s">
        <v>27</v>
      </c>
      <c r="G399" s="2" t="str">
        <f>IFERROR(VLOOKUP(F399,Picks!$A$2:$B$231,2,0),"")</f>
        <v/>
      </c>
      <c r="H399" s="2">
        <v>25</v>
      </c>
      <c r="I399" s="4">
        <v>0.65789473684210531</v>
      </c>
      <c r="J399" s="4">
        <v>2.0299999999999998</v>
      </c>
      <c r="K399" s="4">
        <v>1.3355263157894739</v>
      </c>
      <c r="L399" s="4">
        <v>0.75904938864045457</v>
      </c>
      <c r="O399" s="4">
        <v>-2.4960282008667458</v>
      </c>
      <c r="P399" s="4">
        <v>-2.781497701845641</v>
      </c>
      <c r="Q399" s="4">
        <v>-2.7979745189743741</v>
      </c>
      <c r="R399" s="4">
        <v>-2.7567824761525399</v>
      </c>
      <c r="S399" s="2">
        <v>-3.6413333333333329</v>
      </c>
      <c r="T399" s="2">
        <v>-3.0234061948651818</v>
      </c>
      <c r="W399" s="4">
        <v>-2.0827343094488082</v>
      </c>
      <c r="X399" s="4">
        <v>-2.3209355941071759</v>
      </c>
      <c r="Y399" s="4">
        <v>-2.5952704777422602</v>
      </c>
      <c r="Z399" s="4">
        <v>-1.909433268654551</v>
      </c>
      <c r="AA399" s="2">
        <v>-2.870550000000001</v>
      </c>
      <c r="AB399" s="2">
        <v>-2.0661705916819768</v>
      </c>
    </row>
    <row r="400" spans="1:28" x14ac:dyDescent="0.2">
      <c r="A400" s="2">
        <v>100742</v>
      </c>
      <c r="B400" s="2" t="s">
        <v>618</v>
      </c>
      <c r="C400" s="2" t="s">
        <v>288</v>
      </c>
      <c r="D400" s="2" t="s">
        <v>35</v>
      </c>
      <c r="E400" s="2" t="s">
        <v>29</v>
      </c>
      <c r="G400" s="2" t="str">
        <f>IFERROR(VLOOKUP(F400,Picks!$A$2:$B$231,2,0),"")</f>
        <v/>
      </c>
      <c r="H400" s="2">
        <v>17</v>
      </c>
      <c r="I400" s="4">
        <v>0.44736842105263158</v>
      </c>
      <c r="J400" s="4">
        <v>2</v>
      </c>
      <c r="K400" s="4">
        <v>0.89473684210526316</v>
      </c>
      <c r="L400" s="4">
        <v>0.55959705326235831</v>
      </c>
      <c r="O400" s="4">
        <v>-1.9418533112092391</v>
      </c>
      <c r="P400" s="4">
        <v>-2.3277736853612332</v>
      </c>
      <c r="Q400" s="4">
        <v>-2.3113769261701909</v>
      </c>
      <c r="R400" s="4">
        <v>-2.3523688241477969</v>
      </c>
      <c r="S400" s="2">
        <v>-2.877333333333334</v>
      </c>
      <c r="T400" s="2">
        <v>-2.7028833629826199</v>
      </c>
      <c r="W400" s="4">
        <v>-2.085651538916431</v>
      </c>
      <c r="X400" s="4">
        <v>-2.5001501097420928</v>
      </c>
      <c r="Y400" s="4">
        <v>-2.6223935427758831</v>
      </c>
      <c r="Z400" s="4">
        <v>-2.3167849601914079</v>
      </c>
      <c r="AA400" s="2">
        <v>-2.9005500000000008</v>
      </c>
      <c r="AB400" s="2">
        <v>-2.506960065366187</v>
      </c>
    </row>
    <row r="401" spans="1:28" x14ac:dyDescent="0.2">
      <c r="A401" s="2">
        <v>101002</v>
      </c>
      <c r="B401" s="2" t="s">
        <v>618</v>
      </c>
      <c r="C401" s="2" t="s">
        <v>294</v>
      </c>
      <c r="D401" s="2" t="s">
        <v>26</v>
      </c>
      <c r="E401" s="2" t="s">
        <v>27</v>
      </c>
      <c r="G401" s="2" t="str">
        <f>IFERROR(VLOOKUP(F401,Picks!$A$2:$B$231,2,0),"")</f>
        <v/>
      </c>
      <c r="H401" s="2">
        <v>16</v>
      </c>
      <c r="I401" s="4">
        <v>0.42105263157894729</v>
      </c>
      <c r="J401" s="4">
        <v>1.97</v>
      </c>
      <c r="K401" s="4">
        <v>0.82947368421052625</v>
      </c>
      <c r="L401" s="4">
        <v>0.75002399202972114</v>
      </c>
      <c r="O401" s="4">
        <v>-2.4737664393827581</v>
      </c>
      <c r="P401" s="4">
        <v>-2.9937300858772229</v>
      </c>
      <c r="Q401" s="4">
        <v>-2.8440780903232752</v>
      </c>
      <c r="R401" s="4">
        <v>-3.218208079208146</v>
      </c>
      <c r="S401" s="2">
        <v>-3.7013333333333329</v>
      </c>
      <c r="T401" s="2">
        <v>-3.52945882644413</v>
      </c>
      <c r="W401" s="4">
        <v>-2.099295667275503</v>
      </c>
      <c r="X401" s="4">
        <v>-2.540548896702838</v>
      </c>
      <c r="Y401" s="4">
        <v>-2.6495166078095069</v>
      </c>
      <c r="Z401" s="4">
        <v>-2.3770973300428349</v>
      </c>
      <c r="AA401" s="2">
        <v>-2.9305500000000011</v>
      </c>
      <c r="AB401" s="2">
        <v>-2.572223223260925</v>
      </c>
    </row>
    <row r="402" spans="1:28" x14ac:dyDescent="0.2">
      <c r="A402" s="2">
        <v>96340</v>
      </c>
      <c r="B402" s="2" t="s">
        <v>618</v>
      </c>
      <c r="C402" s="2" t="s">
        <v>240</v>
      </c>
      <c r="D402" s="2" t="s">
        <v>23</v>
      </c>
      <c r="E402" s="2" t="s">
        <v>29</v>
      </c>
      <c r="G402" s="2" t="str">
        <f>IFERROR(VLOOKUP(F402,Picks!$A$2:$B$231,2,0),"")</f>
        <v/>
      </c>
      <c r="H402" s="2">
        <v>26</v>
      </c>
      <c r="I402" s="4">
        <v>0.68421052631578949</v>
      </c>
      <c r="J402" s="4">
        <v>1.98</v>
      </c>
      <c r="K402" s="4">
        <v>1.354736842105263</v>
      </c>
      <c r="L402" s="4">
        <v>0.86667022740633382</v>
      </c>
      <c r="O402" s="4">
        <v>-1.971006645636183</v>
      </c>
      <c r="P402" s="4">
        <v>-2.1772747829702022</v>
      </c>
      <c r="Q402" s="4">
        <v>-2.3274430308470002</v>
      </c>
      <c r="R402" s="4">
        <v>-1.9520224111550051</v>
      </c>
      <c r="S402" s="2">
        <v>-2.897333333333334</v>
      </c>
      <c r="T402" s="2">
        <v>-2.2428833629826199</v>
      </c>
      <c r="W402" s="4">
        <v>-2.1191824558142649</v>
      </c>
      <c r="X402" s="4">
        <v>-2.3409573639808738</v>
      </c>
      <c r="Y402" s="4">
        <v>-2.640475586131632</v>
      </c>
      <c r="Z402" s="4">
        <v>-1.8916800307547359</v>
      </c>
      <c r="AA402" s="2">
        <v>-2.9205500000000009</v>
      </c>
      <c r="AB402" s="2">
        <v>-2.046960065366187</v>
      </c>
    </row>
    <row r="403" spans="1:28" x14ac:dyDescent="0.2">
      <c r="A403" s="2">
        <v>90309</v>
      </c>
      <c r="B403" s="2" t="s">
        <v>618</v>
      </c>
      <c r="C403" s="2" t="s">
        <v>192</v>
      </c>
      <c r="D403" s="2" t="s">
        <v>67</v>
      </c>
      <c r="E403" s="2" t="s">
        <v>27</v>
      </c>
      <c r="G403" s="2" t="str">
        <f>IFERROR(VLOOKUP(F403,Picks!$A$2:$B$231,2,0),"")</f>
        <v/>
      </c>
      <c r="H403" s="2">
        <v>22</v>
      </c>
      <c r="I403" s="4">
        <v>0.57894736842105265</v>
      </c>
      <c r="J403" s="4">
        <v>1.95</v>
      </c>
      <c r="K403" s="4">
        <v>1.1289473684210529</v>
      </c>
      <c r="L403" s="4">
        <v>1.687179251430635</v>
      </c>
      <c r="O403" s="4">
        <v>-2.5282019689424819</v>
      </c>
      <c r="P403" s="4">
        <v>-2.89372514517513</v>
      </c>
      <c r="Q403" s="4">
        <v>-2.8594459474395739</v>
      </c>
      <c r="R403" s="4">
        <v>-2.9451439417784631</v>
      </c>
      <c r="S403" s="2">
        <v>-3.7213333333333329</v>
      </c>
      <c r="T403" s="2">
        <v>-3.2299851422336028</v>
      </c>
      <c r="W403" s="4">
        <v>-2.1323973312908908</v>
      </c>
      <c r="X403" s="4">
        <v>-2.4406957406341521</v>
      </c>
      <c r="Y403" s="4">
        <v>-2.667598651165255</v>
      </c>
      <c r="Z403" s="4">
        <v>-2.1003413748374959</v>
      </c>
      <c r="AA403" s="2">
        <v>-2.9505500000000011</v>
      </c>
      <c r="AB403" s="2">
        <v>-2.2727495390503978</v>
      </c>
    </row>
    <row r="404" spans="1:28" x14ac:dyDescent="0.2">
      <c r="A404" s="2">
        <v>130889</v>
      </c>
      <c r="B404" s="2" t="s">
        <v>618</v>
      </c>
      <c r="C404" s="2" t="s">
        <v>548</v>
      </c>
      <c r="D404" s="2" t="s">
        <v>31</v>
      </c>
      <c r="E404" s="2" t="s">
        <v>29</v>
      </c>
      <c r="G404" s="2" t="str">
        <f>IFERROR(VLOOKUP(F404,Picks!$A$2:$B$231,2,0),"")</f>
        <v/>
      </c>
      <c r="H404" s="2">
        <v>9</v>
      </c>
      <c r="I404" s="4">
        <v>0.32142857142857151</v>
      </c>
      <c r="J404" s="4">
        <v>1.86</v>
      </c>
      <c r="K404" s="4">
        <v>0.59785714285714298</v>
      </c>
      <c r="L404" s="4">
        <v>0.44148783441506961</v>
      </c>
      <c r="O404" s="4">
        <v>-1.989959023154799</v>
      </c>
      <c r="P404" s="4">
        <v>-2.498603257772841</v>
      </c>
      <c r="Q404" s="4">
        <v>-2.423839658907851</v>
      </c>
      <c r="R404" s="4">
        <v>-2.6107486560703279</v>
      </c>
      <c r="S404" s="2">
        <v>-3.0173333333333332</v>
      </c>
      <c r="T404" s="2">
        <v>-2.9997630622307399</v>
      </c>
      <c r="W404" s="4">
        <v>-2.1390782732429039</v>
      </c>
      <c r="X404" s="4">
        <v>-2.6858381906188931</v>
      </c>
      <c r="Y404" s="4">
        <v>-2.748967846266126</v>
      </c>
      <c r="Z404" s="4">
        <v>-2.5911437071480439</v>
      </c>
      <c r="AA404" s="2">
        <v>-3.040550000000001</v>
      </c>
      <c r="AB404" s="2">
        <v>-2.8038397646143078</v>
      </c>
    </row>
    <row r="405" spans="1:28" x14ac:dyDescent="0.2">
      <c r="A405" s="2">
        <v>113359</v>
      </c>
      <c r="B405" s="2" t="s">
        <v>618</v>
      </c>
      <c r="C405" s="2" t="s">
        <v>443</v>
      </c>
      <c r="D405" s="2" t="s">
        <v>52</v>
      </c>
      <c r="E405" s="2" t="s">
        <v>29</v>
      </c>
      <c r="G405" s="2" t="str">
        <f>IFERROR(VLOOKUP(F405,Picks!$A$2:$B$231,2,0),"")</f>
        <v/>
      </c>
      <c r="H405" s="2">
        <v>25</v>
      </c>
      <c r="I405" s="4">
        <v>0.65789473684210531</v>
      </c>
      <c r="J405" s="4">
        <v>1.94</v>
      </c>
      <c r="K405" s="4">
        <v>1.2763157894736841</v>
      </c>
      <c r="L405" s="4">
        <v>0.85794206119635119</v>
      </c>
      <c r="O405" s="4">
        <v>-1.9956169082149191</v>
      </c>
      <c r="P405" s="4">
        <v>-2.22385461912513</v>
      </c>
      <c r="Q405" s="4">
        <v>-2.3595752402006172</v>
      </c>
      <c r="R405" s="4">
        <v>-2.0202736875118998</v>
      </c>
      <c r="S405" s="2">
        <v>-2.937333333333334</v>
      </c>
      <c r="T405" s="2">
        <v>-2.3213044156141991</v>
      </c>
      <c r="W405" s="4">
        <v>-2.1461863965192092</v>
      </c>
      <c r="X405" s="4">
        <v>-2.3916446647428131</v>
      </c>
      <c r="Y405" s="4">
        <v>-2.6766396728431299</v>
      </c>
      <c r="Z405" s="4">
        <v>-1.964152152592338</v>
      </c>
      <c r="AA405" s="2">
        <v>-2.9605500000000009</v>
      </c>
      <c r="AB405" s="2">
        <v>-2.1253811179977662</v>
      </c>
    </row>
    <row r="406" spans="1:28" x14ac:dyDescent="0.2">
      <c r="A406" s="2">
        <v>141995</v>
      </c>
      <c r="B406" s="2" t="s">
        <v>618</v>
      </c>
      <c r="C406" s="2" t="s">
        <v>584</v>
      </c>
      <c r="D406" s="2" t="s">
        <v>99</v>
      </c>
      <c r="E406" s="2" t="s">
        <v>29</v>
      </c>
      <c r="G406" s="2" t="str">
        <f>IFERROR(VLOOKUP(F406,Picks!$A$2:$B$231,2,0),"")</f>
        <v/>
      </c>
      <c r="H406" s="2">
        <v>13</v>
      </c>
      <c r="I406" s="4">
        <v>0.38235294117647062</v>
      </c>
      <c r="J406" s="4">
        <v>1.85</v>
      </c>
      <c r="K406" s="4">
        <v>0.70735294117647063</v>
      </c>
      <c r="L406" s="4">
        <v>0.1681759646329222</v>
      </c>
      <c r="O406" s="4">
        <v>-2.008498168237042</v>
      </c>
      <c r="P406" s="4">
        <v>-2.465304610832471</v>
      </c>
      <c r="Q406" s="4">
        <v>-2.431872711246255</v>
      </c>
      <c r="R406" s="4">
        <v>-2.5154524602117951</v>
      </c>
      <c r="S406" s="2">
        <v>-3.027333333333333</v>
      </c>
      <c r="T406" s="2">
        <v>-2.890267263911412</v>
      </c>
      <c r="W406" s="4">
        <v>-2.1596117409020801</v>
      </c>
      <c r="X406" s="4">
        <v>-2.6507869743924442</v>
      </c>
      <c r="Y406" s="4">
        <v>-2.758008867944</v>
      </c>
      <c r="Z406" s="4">
        <v>-2.4899541340651101</v>
      </c>
      <c r="AA406" s="2">
        <v>-3.0505500000000012</v>
      </c>
      <c r="AB406" s="2">
        <v>-2.69434396629498</v>
      </c>
    </row>
    <row r="407" spans="1:28" x14ac:dyDescent="0.2">
      <c r="A407" s="2">
        <v>96342</v>
      </c>
      <c r="B407" s="2" t="s">
        <v>618</v>
      </c>
      <c r="C407" s="2" t="s">
        <v>241</v>
      </c>
      <c r="D407" s="2" t="s">
        <v>99</v>
      </c>
      <c r="E407" s="2" t="s">
        <v>29</v>
      </c>
      <c r="G407" s="2" t="str">
        <f>IFERROR(VLOOKUP(F407,Picks!$A$2:$B$231,2,0),"")</f>
        <v/>
      </c>
      <c r="H407" s="2">
        <v>17</v>
      </c>
      <c r="I407" s="4">
        <v>0.44736842105263158</v>
      </c>
      <c r="J407" s="4">
        <v>1.75</v>
      </c>
      <c r="K407" s="4">
        <v>0.78289473684210531</v>
      </c>
      <c r="L407" s="4">
        <v>0.69336214697395326</v>
      </c>
      <c r="O407" s="4">
        <v>-2.0748523938290608</v>
      </c>
      <c r="P407" s="4">
        <v>-2.4872047623187479</v>
      </c>
      <c r="Q407" s="4">
        <v>-2.5122032346302978</v>
      </c>
      <c r="R407" s="4">
        <v>-2.449707053851423</v>
      </c>
      <c r="S407" s="2">
        <v>-3.127333333333334</v>
      </c>
      <c r="T407" s="2">
        <v>-2.8147254682457779</v>
      </c>
      <c r="W407" s="4">
        <v>-2.2332721672558842</v>
      </c>
      <c r="X407" s="4">
        <v>-2.6771085916632051</v>
      </c>
      <c r="Y407" s="4">
        <v>-2.8484190847227451</v>
      </c>
      <c r="Z407" s="4">
        <v>-2.4201428520738939</v>
      </c>
      <c r="AA407" s="2">
        <v>-3.1505500000000008</v>
      </c>
      <c r="AB407" s="2">
        <v>-2.6188021706293449</v>
      </c>
    </row>
    <row r="408" spans="1:28" x14ac:dyDescent="0.2">
      <c r="A408" s="2">
        <v>111683</v>
      </c>
      <c r="B408" s="2" t="s">
        <v>618</v>
      </c>
      <c r="C408" s="2" t="s">
        <v>420</v>
      </c>
      <c r="D408" s="2" t="s">
        <v>58</v>
      </c>
      <c r="E408" s="2" t="s">
        <v>24</v>
      </c>
      <c r="G408" s="2" t="str">
        <f>IFERROR(VLOOKUP(F408,Picks!$A$2:$B$231,2,0),"")</f>
        <v/>
      </c>
      <c r="H408" s="2">
        <v>18</v>
      </c>
      <c r="I408" s="4">
        <v>0.47368421052631582</v>
      </c>
      <c r="J408" s="4">
        <v>1.69</v>
      </c>
      <c r="K408" s="4">
        <v>0.80052631578947364</v>
      </c>
      <c r="L408" s="4">
        <v>0.91454518074530733</v>
      </c>
      <c r="O408" s="4">
        <v>-3.133459689854893</v>
      </c>
      <c r="P408" s="4">
        <v>-3.7209833817026849</v>
      </c>
      <c r="Q408" s="4">
        <v>-3.0599394880716821</v>
      </c>
      <c r="R408" s="4">
        <v>-4.7125492221491889</v>
      </c>
      <c r="S408" s="2">
        <v>-3.851</v>
      </c>
      <c r="T408" s="2">
        <v>-3.3611137980085348</v>
      </c>
      <c r="W408" s="4">
        <v>-2.2763272780117592</v>
      </c>
      <c r="X408" s="4">
        <v>-2.703138642638963</v>
      </c>
      <c r="Y408" s="4">
        <v>-2.9026652147899918</v>
      </c>
      <c r="Z408" s="4">
        <v>-2.4038487844124199</v>
      </c>
      <c r="AA408" s="2">
        <v>-3.2105500000000009</v>
      </c>
      <c r="AB408" s="2">
        <v>-2.601170591681977</v>
      </c>
    </row>
    <row r="409" spans="1:28" x14ac:dyDescent="0.2">
      <c r="A409" s="2">
        <v>101594</v>
      </c>
      <c r="B409" s="2" t="s">
        <v>618</v>
      </c>
      <c r="C409" s="2" t="s">
        <v>303</v>
      </c>
      <c r="D409" s="2" t="s">
        <v>67</v>
      </c>
      <c r="E409" s="2" t="s">
        <v>29</v>
      </c>
      <c r="G409" s="2" t="str">
        <f>IFERROR(VLOOKUP(F409,Picks!$A$2:$B$231,2,0),"")</f>
        <v/>
      </c>
      <c r="H409" s="2">
        <v>30</v>
      </c>
      <c r="I409" s="4">
        <v>0.78947368421052633</v>
      </c>
      <c r="J409" s="4">
        <v>1.76</v>
      </c>
      <c r="K409" s="4">
        <v>1.389473684210526</v>
      </c>
      <c r="L409" s="4">
        <v>0.7023994640604273</v>
      </c>
      <c r="O409" s="4">
        <v>-2.1277728683310579</v>
      </c>
      <c r="P409" s="4">
        <v>-2.271218230241018</v>
      </c>
      <c r="Q409" s="4">
        <v>-2.5041701822918938</v>
      </c>
      <c r="R409" s="4">
        <v>-1.9217903021647029</v>
      </c>
      <c r="S409" s="2">
        <v>-3.1173333333333342</v>
      </c>
      <c r="T409" s="2">
        <v>-2.208146520877357</v>
      </c>
      <c r="W409" s="4">
        <v>-2.2928818476925898</v>
      </c>
      <c r="X409" s="4">
        <v>-2.447458152031416</v>
      </c>
      <c r="Y409" s="4">
        <v>-2.8393780630448711</v>
      </c>
      <c r="Z409" s="4">
        <v>-1.8595782855112339</v>
      </c>
      <c r="AA409" s="2">
        <v>-3.1405500000000011</v>
      </c>
      <c r="AB409" s="2">
        <v>-2.0122232232609241</v>
      </c>
    </row>
    <row r="410" spans="1:28" x14ac:dyDescent="0.2">
      <c r="A410" s="2">
        <v>42222</v>
      </c>
      <c r="B410" s="2" t="s">
        <v>618</v>
      </c>
      <c r="C410" s="2" t="s">
        <v>32</v>
      </c>
      <c r="D410" s="2" t="s">
        <v>33</v>
      </c>
      <c r="E410" s="2" t="s">
        <v>27</v>
      </c>
      <c r="G410" s="2" t="str">
        <f>IFERROR(VLOOKUP(F410,Picks!$A$2:$B$231,2,0),"")</f>
        <v/>
      </c>
      <c r="H410" s="2">
        <v>26</v>
      </c>
      <c r="I410" s="4">
        <v>0.68421052631578949</v>
      </c>
      <c r="J410" s="4">
        <v>1.71</v>
      </c>
      <c r="K410" s="4">
        <v>1.17</v>
      </c>
      <c r="L410" s="4">
        <v>0.72098340459491861</v>
      </c>
      <c r="O410" s="4">
        <v>-2.7061943898876608</v>
      </c>
      <c r="P410" s="4">
        <v>-2.9894007795270681</v>
      </c>
      <c r="Q410" s="4">
        <v>-3.043860232835176</v>
      </c>
      <c r="R410" s="4">
        <v>-2.9077115995649039</v>
      </c>
      <c r="S410" s="2">
        <v>-3.9613333333333332</v>
      </c>
      <c r="T410" s="2">
        <v>-3.1889325106546562</v>
      </c>
      <c r="W410" s="4">
        <v>-2.3135910850446808</v>
      </c>
      <c r="X410" s="4">
        <v>-2.5557110823167979</v>
      </c>
      <c r="Y410" s="4">
        <v>-2.8845831714342429</v>
      </c>
      <c r="Z410" s="4">
        <v>-2.062402948640631</v>
      </c>
      <c r="AA410" s="2">
        <v>-3.1905500000000009</v>
      </c>
      <c r="AB410" s="2">
        <v>-2.2316969074714512</v>
      </c>
    </row>
    <row r="411" spans="1:28" x14ac:dyDescent="0.2">
      <c r="A411" s="2">
        <v>130650</v>
      </c>
      <c r="B411" s="2" t="s">
        <v>618</v>
      </c>
      <c r="C411" s="2" t="s">
        <v>543</v>
      </c>
      <c r="D411" s="2" t="s">
        <v>23</v>
      </c>
      <c r="E411" s="2" t="s">
        <v>29</v>
      </c>
      <c r="G411" s="2" t="str">
        <f>IFERROR(VLOOKUP(F411,Picks!$A$2:$B$231,2,0),"")</f>
        <v/>
      </c>
      <c r="H411" s="2">
        <v>20</v>
      </c>
      <c r="I411" s="4">
        <v>0.52631578947368418</v>
      </c>
      <c r="J411" s="4">
        <v>1.64</v>
      </c>
      <c r="K411" s="4">
        <v>0.86315789473684201</v>
      </c>
      <c r="L411" s="4">
        <v>0.65613095004967326</v>
      </c>
      <c r="O411" s="4">
        <v>-2.155272741778929</v>
      </c>
      <c r="P411" s="4">
        <v>-2.5122811100490581</v>
      </c>
      <c r="Q411" s="4">
        <v>-2.6005668103527451</v>
      </c>
      <c r="R411" s="4">
        <v>-2.3798525595935272</v>
      </c>
      <c r="S411" s="2">
        <v>-3.2373333333333338</v>
      </c>
      <c r="T411" s="2">
        <v>-2.734462310351041</v>
      </c>
      <c r="W411" s="4">
        <v>-2.322415026327465</v>
      </c>
      <c r="X411" s="4">
        <v>-2.7071095398909102</v>
      </c>
      <c r="Y411" s="4">
        <v>-2.947870323179365</v>
      </c>
      <c r="Z411" s="4">
        <v>-2.3459683649582281</v>
      </c>
      <c r="AA411" s="2">
        <v>-3.2605500000000012</v>
      </c>
      <c r="AB411" s="2">
        <v>-2.538539012734609</v>
      </c>
    </row>
    <row r="412" spans="1:28" x14ac:dyDescent="0.2">
      <c r="A412" s="2">
        <v>136955</v>
      </c>
      <c r="B412" s="2" t="s">
        <v>618</v>
      </c>
      <c r="C412" s="2" t="s">
        <v>567</v>
      </c>
      <c r="D412" s="2" t="s">
        <v>45</v>
      </c>
      <c r="E412" s="2" t="s">
        <v>27</v>
      </c>
      <c r="G412" s="2" t="str">
        <f>IFERROR(VLOOKUP(F412,Picks!$A$2:$B$231,2,0),"")</f>
        <v/>
      </c>
      <c r="H412" s="2">
        <v>8</v>
      </c>
      <c r="I412" s="4">
        <v>0.47058823529411759</v>
      </c>
      <c r="J412" s="4">
        <v>1.6</v>
      </c>
      <c r="K412" s="4">
        <v>0.75294117647058822</v>
      </c>
      <c r="L412" s="4">
        <v>0.6908503924192867</v>
      </c>
      <c r="O412" s="4">
        <v>-2.68522594530942</v>
      </c>
      <c r="P412" s="4">
        <v>-3.1922266482699402</v>
      </c>
      <c r="Q412" s="4">
        <v>-3.1283834469748268</v>
      </c>
      <c r="R412" s="4">
        <v>-3.2879914502126089</v>
      </c>
      <c r="S412" s="2">
        <v>-4.0713333333333326</v>
      </c>
      <c r="T412" s="2">
        <v>-3.605991334184067</v>
      </c>
      <c r="W412" s="4">
        <v>-2.329680558134998</v>
      </c>
      <c r="X412" s="4">
        <v>-2.7695503138667799</v>
      </c>
      <c r="Y412" s="4">
        <v>-2.984034409890862</v>
      </c>
      <c r="Z412" s="4">
        <v>-2.4478241698306569</v>
      </c>
      <c r="AA412" s="2">
        <v>-3.3005500000000012</v>
      </c>
      <c r="AB412" s="2">
        <v>-2.648755731000862</v>
      </c>
    </row>
    <row r="413" spans="1:28" x14ac:dyDescent="0.2">
      <c r="A413" s="2">
        <v>122396</v>
      </c>
      <c r="B413" s="2" t="s">
        <v>618</v>
      </c>
      <c r="C413" s="2" t="s">
        <v>487</v>
      </c>
      <c r="D413" s="2" t="s">
        <v>99</v>
      </c>
      <c r="E413" s="2" t="s">
        <v>29</v>
      </c>
      <c r="G413" s="2" t="str">
        <f>IFERROR(VLOOKUP(F413,Picks!$A$2:$B$231,2,0),"")</f>
        <v/>
      </c>
      <c r="H413" s="2">
        <v>16</v>
      </c>
      <c r="I413" s="4">
        <v>0.42105263157894729</v>
      </c>
      <c r="J413" s="4">
        <v>1.55</v>
      </c>
      <c r="K413" s="4">
        <v>0.65263157894736845</v>
      </c>
      <c r="L413" s="4">
        <v>0.53917749909786494</v>
      </c>
      <c r="O413" s="4">
        <v>-2.172342526088491</v>
      </c>
      <c r="P413" s="4">
        <v>-2.6289495538650529</v>
      </c>
      <c r="Q413" s="4">
        <v>-2.6728642813983838</v>
      </c>
      <c r="R413" s="4">
        <v>-2.5630774625650572</v>
      </c>
      <c r="S413" s="2">
        <v>-3.3273333333333341</v>
      </c>
      <c r="T413" s="2">
        <v>-2.9449886261405149</v>
      </c>
      <c r="W413" s="4">
        <v>-2.341575235458333</v>
      </c>
      <c r="X413" s="4">
        <v>-2.8337534696629509</v>
      </c>
      <c r="Y413" s="4">
        <v>-3.0292395182802352</v>
      </c>
      <c r="Z413" s="4">
        <v>-2.540524396737025</v>
      </c>
      <c r="AA413" s="2">
        <v>-3.350550000000001</v>
      </c>
      <c r="AB413" s="2">
        <v>-2.749065328524082</v>
      </c>
    </row>
    <row r="414" spans="1:28" x14ac:dyDescent="0.2">
      <c r="A414" s="2">
        <v>111951</v>
      </c>
      <c r="B414" s="2" t="s">
        <v>618</v>
      </c>
      <c r="C414" s="2" t="s">
        <v>430</v>
      </c>
      <c r="D414" s="2" t="s">
        <v>33</v>
      </c>
      <c r="E414" s="2" t="s">
        <v>27</v>
      </c>
      <c r="G414" s="2" t="str">
        <f>IFERROR(VLOOKUP(F414,Picks!$A$2:$B$231,2,0),"")</f>
        <v/>
      </c>
      <c r="H414" s="2">
        <v>21</v>
      </c>
      <c r="I414" s="4">
        <v>0.80769230769230771</v>
      </c>
      <c r="J414" s="4">
        <v>1.68</v>
      </c>
      <c r="K414" s="4">
        <v>1.3569230769230769</v>
      </c>
      <c r="L414" s="4">
        <v>0.42355800619913281</v>
      </c>
      <c r="O414" s="4">
        <v>-2.7657260907865702</v>
      </c>
      <c r="P414" s="4">
        <v>-2.9350562596102381</v>
      </c>
      <c r="Q414" s="4">
        <v>-3.066912018509627</v>
      </c>
      <c r="R414" s="4">
        <v>-2.737272621261154</v>
      </c>
      <c r="S414" s="2">
        <v>-3.991333333333333</v>
      </c>
      <c r="T414" s="2">
        <v>-3.0020094337315788</v>
      </c>
      <c r="W414" s="4">
        <v>-2.358490236914554</v>
      </c>
      <c r="X414" s="4">
        <v>-2.5028875983583032</v>
      </c>
      <c r="Y414" s="4">
        <v>-2.9117062364678672</v>
      </c>
      <c r="Z414" s="4">
        <v>-1.8896596411939559</v>
      </c>
      <c r="AA414" s="2">
        <v>-3.2205500000000011</v>
      </c>
      <c r="AB414" s="2">
        <v>-2.0447738305483738</v>
      </c>
    </row>
    <row r="415" spans="1:28" x14ac:dyDescent="0.2">
      <c r="A415" s="2">
        <v>62977</v>
      </c>
      <c r="B415" s="2" t="s">
        <v>618</v>
      </c>
      <c r="C415" s="2" t="s">
        <v>48</v>
      </c>
      <c r="D415" s="2" t="s">
        <v>23</v>
      </c>
      <c r="E415" s="2" t="s">
        <v>29</v>
      </c>
      <c r="G415" s="2" t="str">
        <f>IFERROR(VLOOKUP(F415,Picks!$A$2:$B$231,2,0),"")</f>
        <v/>
      </c>
      <c r="H415" s="2">
        <v>17</v>
      </c>
      <c r="I415" s="4">
        <v>0.44736842105263158</v>
      </c>
      <c r="J415" s="4">
        <v>1.53</v>
      </c>
      <c r="K415" s="4">
        <v>0.68447368421052635</v>
      </c>
      <c r="L415" s="4">
        <v>0.3484801383549434</v>
      </c>
      <c r="O415" s="4">
        <v>-2.1918915865345028</v>
      </c>
      <c r="P415" s="4">
        <v>-2.6275041100413601</v>
      </c>
      <c r="Q415" s="4">
        <v>-2.6889303860751919</v>
      </c>
      <c r="R415" s="4">
        <v>-2.5353646959906131</v>
      </c>
      <c r="S415" s="2">
        <v>-3.3473333333333328</v>
      </c>
      <c r="T415" s="2">
        <v>-2.913146520877357</v>
      </c>
      <c r="W415" s="4">
        <v>-2.3631783201946028</v>
      </c>
      <c r="X415" s="4">
        <v>-2.8328320557537832</v>
      </c>
      <c r="Y415" s="4">
        <v>-3.0473215616359841</v>
      </c>
      <c r="Z415" s="4">
        <v>-2.511097796930482</v>
      </c>
      <c r="AA415" s="2">
        <v>-3.370550000000001</v>
      </c>
      <c r="AB415" s="2">
        <v>-2.7172232232609241</v>
      </c>
    </row>
    <row r="416" spans="1:28" x14ac:dyDescent="0.2">
      <c r="A416" s="2">
        <v>105068</v>
      </c>
      <c r="B416" s="2" t="s">
        <v>618</v>
      </c>
      <c r="C416" s="2" t="s">
        <v>346</v>
      </c>
      <c r="D416" s="2" t="s">
        <v>26</v>
      </c>
      <c r="E416" s="2" t="s">
        <v>29</v>
      </c>
      <c r="G416" s="2" t="str">
        <f>IFERROR(VLOOKUP(F416,Picks!$A$2:$B$231,2,0),"")</f>
        <v/>
      </c>
      <c r="H416" s="2">
        <v>9</v>
      </c>
      <c r="I416" s="4">
        <v>0.45</v>
      </c>
      <c r="J416" s="4">
        <v>1.48</v>
      </c>
      <c r="K416" s="4">
        <v>0.66600000000000004</v>
      </c>
      <c r="L416" s="4">
        <v>0.70588429050301693</v>
      </c>
      <c r="O416" s="4">
        <v>-2.2194587750609789</v>
      </c>
      <c r="P416" s="4">
        <v>-2.6580344611508742</v>
      </c>
      <c r="Q416" s="4">
        <v>-2.7290956477672128</v>
      </c>
      <c r="R416" s="4">
        <v>-2.551442681226364</v>
      </c>
      <c r="S416" s="2">
        <v>-3.397333333333334</v>
      </c>
      <c r="T416" s="2">
        <v>-2.9316202050878828</v>
      </c>
      <c r="W416" s="4">
        <v>-2.393764671314873</v>
      </c>
      <c r="X416" s="4">
        <v>-2.8667840375028422</v>
      </c>
      <c r="Y416" s="4">
        <v>-3.092526670025356</v>
      </c>
      <c r="Z416" s="4">
        <v>-2.528170088719071</v>
      </c>
      <c r="AA416" s="2">
        <v>-3.4205500000000009</v>
      </c>
      <c r="AB416" s="2">
        <v>-2.7356969074714508</v>
      </c>
    </row>
    <row r="417" spans="1:28" x14ac:dyDescent="0.2">
      <c r="A417" s="2">
        <v>78117</v>
      </c>
      <c r="B417" s="2" t="s">
        <v>618</v>
      </c>
      <c r="C417" s="2" t="s">
        <v>103</v>
      </c>
      <c r="D417" s="2" t="s">
        <v>23</v>
      </c>
      <c r="E417" s="2" t="s">
        <v>27</v>
      </c>
      <c r="G417" s="2" t="str">
        <f>IFERROR(VLOOKUP(F417,Picks!$A$2:$B$231,2,0),"")</f>
        <v/>
      </c>
      <c r="H417" s="2">
        <v>28</v>
      </c>
      <c r="I417" s="4">
        <v>0.73684210526315785</v>
      </c>
      <c r="J417" s="4">
        <v>1.58</v>
      </c>
      <c r="K417" s="4">
        <v>1.1642105263157889</v>
      </c>
      <c r="L417" s="4">
        <v>0.65943664262232304</v>
      </c>
      <c r="O417" s="4">
        <v>-2.8105432805421819</v>
      </c>
      <c r="P417" s="4">
        <v>-3.0514469903029409</v>
      </c>
      <c r="Q417" s="4">
        <v>-3.143751304091126</v>
      </c>
      <c r="R417" s="4">
        <v>-2.9129905196206631</v>
      </c>
      <c r="S417" s="2">
        <v>-4.091333333333333</v>
      </c>
      <c r="T417" s="2">
        <v>-3.1947219843388659</v>
      </c>
      <c r="W417" s="4">
        <v>-2.4208681808258561</v>
      </c>
      <c r="X417" s="4">
        <v>-2.628371167753786</v>
      </c>
      <c r="Y417" s="4">
        <v>-3.0021164532466109</v>
      </c>
      <c r="Z417" s="4">
        <v>-2.0677532395145479</v>
      </c>
      <c r="AA417" s="2">
        <v>-3.3205500000000008</v>
      </c>
      <c r="AB417" s="2">
        <v>-2.2374863811556609</v>
      </c>
    </row>
    <row r="418" spans="1:28" x14ac:dyDescent="0.2">
      <c r="A418" s="2">
        <v>81845</v>
      </c>
      <c r="B418" s="2" t="s">
        <v>618</v>
      </c>
      <c r="C418" s="2" t="s">
        <v>126</v>
      </c>
      <c r="D418" s="2" t="s">
        <v>52</v>
      </c>
      <c r="E418" s="2" t="s">
        <v>29</v>
      </c>
      <c r="G418" s="2" t="str">
        <f>IFERROR(VLOOKUP(F418,Picks!$A$2:$B$231,2,0),"")</f>
        <v/>
      </c>
      <c r="H418" s="2">
        <v>30</v>
      </c>
      <c r="I418" s="4">
        <v>0.78947368421052633</v>
      </c>
      <c r="J418" s="4">
        <v>1.59</v>
      </c>
      <c r="K418" s="4">
        <v>1.2552631578947371</v>
      </c>
      <c r="L418" s="4">
        <v>0.40685205142612257</v>
      </c>
      <c r="O418" s="4">
        <v>-2.24830649028624</v>
      </c>
      <c r="P418" s="4">
        <v>-2.399877714350481</v>
      </c>
      <c r="Q418" s="4">
        <v>-2.640732072044766</v>
      </c>
      <c r="R418" s="4">
        <v>-2.0385961778090529</v>
      </c>
      <c r="S418" s="2">
        <v>-3.2873333333333341</v>
      </c>
      <c r="T418" s="2">
        <v>-2.3423570471931461</v>
      </c>
      <c r="W418" s="4">
        <v>-2.4257543594862141</v>
      </c>
      <c r="X418" s="4">
        <v>-2.5892883612493289</v>
      </c>
      <c r="Y418" s="4">
        <v>-2.9930754315687369</v>
      </c>
      <c r="Z418" s="4">
        <v>-1.9836077557702181</v>
      </c>
      <c r="AA418" s="2">
        <v>-3.310550000000001</v>
      </c>
      <c r="AB418" s="2">
        <v>-2.1464337495767141</v>
      </c>
    </row>
    <row r="419" spans="1:28" x14ac:dyDescent="0.2">
      <c r="A419" s="2">
        <v>86686</v>
      </c>
      <c r="B419" s="2" t="s">
        <v>618</v>
      </c>
      <c r="C419" s="2" t="s">
        <v>159</v>
      </c>
      <c r="D419" s="2" t="s">
        <v>67</v>
      </c>
      <c r="E419" s="2" t="s">
        <v>29</v>
      </c>
      <c r="G419" s="2" t="str">
        <f>IFERROR(VLOOKUP(F419,Picks!$A$2:$B$231,2,0),"")</f>
        <v/>
      </c>
      <c r="H419" s="2">
        <v>28</v>
      </c>
      <c r="I419" s="4">
        <v>0.73684210526315785</v>
      </c>
      <c r="J419" s="4">
        <v>1.56</v>
      </c>
      <c r="K419" s="4">
        <v>1.149473684210526</v>
      </c>
      <c r="L419" s="4">
        <v>0.38678232765994203</v>
      </c>
      <c r="O419" s="4">
        <v>-2.2576523550523948</v>
      </c>
      <c r="P419" s="4">
        <v>-2.4511654140568861</v>
      </c>
      <c r="Q419" s="4">
        <v>-2.6648312290599789</v>
      </c>
      <c r="R419" s="4">
        <v>-2.1306666915522472</v>
      </c>
      <c r="S419" s="2">
        <v>-3.317333333333333</v>
      </c>
      <c r="T419" s="2">
        <v>-2.4481465208773572</v>
      </c>
      <c r="W419" s="4">
        <v>-2.4358783866578011</v>
      </c>
      <c r="X419" s="4">
        <v>-2.6446679626570408</v>
      </c>
      <c r="Y419" s="4">
        <v>-3.0201984966023598</v>
      </c>
      <c r="Z419" s="4">
        <v>-2.081372161739063</v>
      </c>
      <c r="AA419" s="2">
        <v>-3.3405500000000008</v>
      </c>
      <c r="AB419" s="2">
        <v>-2.2522232232609238</v>
      </c>
    </row>
    <row r="420" spans="1:28" x14ac:dyDescent="0.2">
      <c r="A420" s="2">
        <v>104330</v>
      </c>
      <c r="B420" s="2" t="s">
        <v>618</v>
      </c>
      <c r="C420" s="2" t="s">
        <v>68</v>
      </c>
      <c r="D420" s="2" t="s">
        <v>33</v>
      </c>
      <c r="E420" s="2" t="s">
        <v>29</v>
      </c>
      <c r="G420" s="2" t="str">
        <f>IFERROR(VLOOKUP(F420,Picks!$A$2:$B$231,2,0),"")</f>
        <v/>
      </c>
      <c r="H420" s="2">
        <v>10</v>
      </c>
      <c r="I420" s="4">
        <v>0.58823529411764708</v>
      </c>
      <c r="J420" s="4">
        <v>1.45</v>
      </c>
      <c r="K420" s="4">
        <v>0.8529411764705882</v>
      </c>
      <c r="L420" s="4">
        <v>1.409436422621384</v>
      </c>
      <c r="O420" s="4">
        <v>-2.2853222305078211</v>
      </c>
      <c r="P420" s="4">
        <v>-2.6074146254116082</v>
      </c>
      <c r="Q420" s="4">
        <v>-2.7531948047824262</v>
      </c>
      <c r="R420" s="4">
        <v>-2.3887443563553812</v>
      </c>
      <c r="S420" s="2">
        <v>-3.4273333333333329</v>
      </c>
      <c r="T420" s="2">
        <v>-2.7446790286172948</v>
      </c>
      <c r="W420" s="4">
        <v>-2.4663477975089529</v>
      </c>
      <c r="X420" s="4">
        <v>-2.813953862929679</v>
      </c>
      <c r="Y420" s="4">
        <v>-3.1196497350589789</v>
      </c>
      <c r="Z420" s="4">
        <v>-2.355410054735728</v>
      </c>
      <c r="AA420" s="2">
        <v>-3.4505500000000011</v>
      </c>
      <c r="AB420" s="2">
        <v>-2.5487557310008619</v>
      </c>
    </row>
    <row r="421" spans="1:28" x14ac:dyDescent="0.2">
      <c r="A421" s="2">
        <v>74187</v>
      </c>
      <c r="B421" s="2" t="s">
        <v>618</v>
      </c>
      <c r="C421" s="2" t="s">
        <v>97</v>
      </c>
      <c r="D421" s="2" t="s">
        <v>50</v>
      </c>
      <c r="E421" s="2" t="s">
        <v>29</v>
      </c>
      <c r="G421" s="2" t="str">
        <f>IFERROR(VLOOKUP(F421,Picks!$A$2:$B$231,2,0),"")</f>
        <v/>
      </c>
      <c r="H421" s="2">
        <v>17</v>
      </c>
      <c r="I421" s="4">
        <v>0.44736842105263158</v>
      </c>
      <c r="J421" s="4">
        <v>1.35</v>
      </c>
      <c r="K421" s="4">
        <v>0.60394736842105268</v>
      </c>
      <c r="L421" s="4">
        <v>0.57545930693686409</v>
      </c>
      <c r="O421" s="4">
        <v>-2.287650926020774</v>
      </c>
      <c r="P421" s="4">
        <v>-2.74229448545077</v>
      </c>
      <c r="Q421" s="4">
        <v>-2.833525328166469</v>
      </c>
      <c r="R421" s="4">
        <v>-2.6054482213772232</v>
      </c>
      <c r="S421" s="2">
        <v>-3.527333333333333</v>
      </c>
      <c r="T421" s="2">
        <v>-2.993672836666831</v>
      </c>
      <c r="W421" s="4">
        <v>-2.4694651725990102</v>
      </c>
      <c r="X421" s="4">
        <v>-2.960242162736983</v>
      </c>
      <c r="Y421" s="4">
        <v>-3.210059951837724</v>
      </c>
      <c r="Z421" s="4">
        <v>-2.5855154790858719</v>
      </c>
      <c r="AA421" s="2">
        <v>-3.5505500000000012</v>
      </c>
      <c r="AB421" s="2">
        <v>-2.7977495390503981</v>
      </c>
    </row>
    <row r="422" spans="1:28" x14ac:dyDescent="0.2">
      <c r="A422" s="2">
        <v>113158</v>
      </c>
      <c r="B422" s="2" t="s">
        <v>618</v>
      </c>
      <c r="C422" s="2" t="s">
        <v>442</v>
      </c>
      <c r="D422" s="2" t="s">
        <v>35</v>
      </c>
      <c r="E422" s="2" t="s">
        <v>27</v>
      </c>
      <c r="G422" s="2" t="str">
        <f>IFERROR(VLOOKUP(F422,Picks!$A$2:$B$231,2,0),"")</f>
        <v/>
      </c>
      <c r="H422" s="2">
        <v>17</v>
      </c>
      <c r="I422" s="4">
        <v>0.44736842105263158</v>
      </c>
      <c r="J422" s="4">
        <v>1.25</v>
      </c>
      <c r="K422" s="4">
        <v>0.55921052631578949</v>
      </c>
      <c r="L422" s="4">
        <v>0.42153144894142502</v>
      </c>
      <c r="O422" s="4">
        <v>-2.8565434210656551</v>
      </c>
      <c r="P422" s="4">
        <v>-3.424247634085011</v>
      </c>
      <c r="Q422" s="4">
        <v>-3.397320946510078</v>
      </c>
      <c r="R422" s="4">
        <v>-3.4646376654474111</v>
      </c>
      <c r="S422" s="2">
        <v>-4.4213333333333331</v>
      </c>
      <c r="T422" s="2">
        <v>-3.7997219843388659</v>
      </c>
      <c r="W422" s="4">
        <v>-2.5285134239347919</v>
      </c>
      <c r="X422" s="4">
        <v>-3.031025555505428</v>
      </c>
      <c r="Y422" s="4">
        <v>-3.300470168616469</v>
      </c>
      <c r="Z422" s="4">
        <v>-2.6268586358388659</v>
      </c>
      <c r="AA422" s="2">
        <v>-3.6505500000000008</v>
      </c>
      <c r="AB422" s="2">
        <v>-2.8424863811556609</v>
      </c>
    </row>
    <row r="423" spans="1:28" x14ac:dyDescent="0.2">
      <c r="A423" s="2">
        <v>142867</v>
      </c>
      <c r="B423" s="2" t="s">
        <v>618</v>
      </c>
      <c r="C423" s="2" t="s">
        <v>591</v>
      </c>
      <c r="D423" s="2" t="s">
        <v>50</v>
      </c>
      <c r="E423" s="2" t="s">
        <v>27</v>
      </c>
      <c r="G423" s="2" t="str">
        <f>IFERROR(VLOOKUP(F423,Picks!$A$2:$B$231,2,0),"")</f>
        <v/>
      </c>
      <c r="H423" s="2">
        <v>14</v>
      </c>
      <c r="I423" s="4">
        <v>0.53846153846153844</v>
      </c>
      <c r="J423" s="4">
        <v>1.3</v>
      </c>
      <c r="K423" s="4">
        <v>0.7</v>
      </c>
      <c r="L423" s="4">
        <v>0.36201317443090181</v>
      </c>
      <c r="O423" s="4">
        <v>-2.8860214736318901</v>
      </c>
      <c r="P423" s="4">
        <v>-3.3498463533227301</v>
      </c>
      <c r="Q423" s="4">
        <v>-3.3589013037193278</v>
      </c>
      <c r="R423" s="4">
        <v>-3.3362639277278321</v>
      </c>
      <c r="S423" s="2">
        <v>-4.3713333333333333</v>
      </c>
      <c r="T423" s="2">
        <v>-3.658932510654656</v>
      </c>
      <c r="W423" s="4">
        <v>-2.543139847851918</v>
      </c>
      <c r="X423" s="4">
        <v>-2.9518587519709758</v>
      </c>
      <c r="Y423" s="4">
        <v>-3.2552650602270972</v>
      </c>
      <c r="Z423" s="4">
        <v>-2.4967492895867962</v>
      </c>
      <c r="AA423" s="2">
        <v>-3.600550000000001</v>
      </c>
      <c r="AB423" s="2">
        <v>-2.701696907471451</v>
      </c>
    </row>
    <row r="424" spans="1:28" x14ac:dyDescent="0.2">
      <c r="A424" s="2">
        <v>107744</v>
      </c>
      <c r="B424" s="2" t="s">
        <v>618</v>
      </c>
      <c r="C424" s="2" t="s">
        <v>384</v>
      </c>
      <c r="D424" s="2" t="s">
        <v>77</v>
      </c>
      <c r="E424" s="2" t="s">
        <v>29</v>
      </c>
      <c r="G424" s="2" t="str">
        <f>IFERROR(VLOOKUP(F424,Picks!$A$2:$B$231,2,0),"")</f>
        <v/>
      </c>
      <c r="H424" s="2">
        <v>14</v>
      </c>
      <c r="I424" s="4">
        <v>0.36842105263157893</v>
      </c>
      <c r="J424" s="4">
        <v>1.1200000000000001</v>
      </c>
      <c r="K424" s="4">
        <v>0.41263157894736852</v>
      </c>
      <c r="L424" s="4">
        <v>0.92763223570691911</v>
      </c>
      <c r="O424" s="4">
        <v>-2.3665365285917832</v>
      </c>
      <c r="P424" s="4">
        <v>-2.9197528599509011</v>
      </c>
      <c r="Q424" s="4">
        <v>-3.018285531949767</v>
      </c>
      <c r="R424" s="4">
        <v>-2.7719538519525999</v>
      </c>
      <c r="S424" s="2">
        <v>-3.757333333333333</v>
      </c>
      <c r="T424" s="2">
        <v>-3.1849886261405151</v>
      </c>
      <c r="W424" s="4">
        <v>-2.5578017075487351</v>
      </c>
      <c r="X424" s="4">
        <v>-3.1557293794432439</v>
      </c>
      <c r="Y424" s="4">
        <v>-3.418003450428837</v>
      </c>
      <c r="Z424" s="4">
        <v>-2.7623182729648539</v>
      </c>
      <c r="AA424" s="2">
        <v>-3.7805500000000012</v>
      </c>
      <c r="AB424" s="2">
        <v>-2.9890653285240818</v>
      </c>
    </row>
    <row r="425" spans="1:28" x14ac:dyDescent="0.2">
      <c r="A425" s="2">
        <v>100695</v>
      </c>
      <c r="B425" s="2" t="s">
        <v>618</v>
      </c>
      <c r="C425" s="2" t="s">
        <v>287</v>
      </c>
      <c r="D425" s="2" t="s">
        <v>77</v>
      </c>
      <c r="E425" s="2" t="s">
        <v>27</v>
      </c>
      <c r="G425" s="2" t="str">
        <f>IFERROR(VLOOKUP(F425,Picks!$A$2:$B$231,2,0),"")</f>
        <v/>
      </c>
      <c r="H425" s="2">
        <v>12</v>
      </c>
      <c r="I425" s="4">
        <v>0.31578947368421051</v>
      </c>
      <c r="J425" s="4">
        <v>0.76</v>
      </c>
      <c r="K425" s="4">
        <v>0.24</v>
      </c>
      <c r="L425" s="4">
        <v>0.53348474616941788</v>
      </c>
      <c r="O425" s="4">
        <v>-2.9934393511489681</v>
      </c>
      <c r="P425" s="4">
        <v>-3.7665793160152572</v>
      </c>
      <c r="Q425" s="4">
        <v>-3.7738334458594318</v>
      </c>
      <c r="R425" s="4">
        <v>-3.7556981212489959</v>
      </c>
      <c r="S425" s="2">
        <v>-4.9113333333333333</v>
      </c>
      <c r="T425" s="2">
        <v>-4.1189325106546546</v>
      </c>
      <c r="W425" s="4">
        <v>-2.7138910723285559</v>
      </c>
      <c r="X425" s="4">
        <v>-3.4148298261087788</v>
      </c>
      <c r="Y425" s="4">
        <v>-3.743480230832319</v>
      </c>
      <c r="Z425" s="4">
        <v>-2.921854219023468</v>
      </c>
      <c r="AA425" s="2">
        <v>-4.1405500000000011</v>
      </c>
      <c r="AB425" s="2">
        <v>-3.1616969074714509</v>
      </c>
    </row>
    <row r="426" spans="1:28" x14ac:dyDescent="0.2">
      <c r="A426" s="2">
        <v>118752</v>
      </c>
      <c r="B426" s="2" t="s">
        <v>618</v>
      </c>
      <c r="C426" s="2" t="s">
        <v>475</v>
      </c>
      <c r="D426" s="2" t="s">
        <v>67</v>
      </c>
      <c r="E426" s="2" t="s">
        <v>29</v>
      </c>
      <c r="G426" s="2" t="str">
        <f>IFERROR(VLOOKUP(F426,Picks!$A$2:$B$231,2,0),"")</f>
        <v/>
      </c>
      <c r="H426" s="2">
        <v>18</v>
      </c>
      <c r="I426" s="4">
        <v>0.47368421052631582</v>
      </c>
      <c r="J426" s="4">
        <v>0.82</v>
      </c>
      <c r="K426" s="4">
        <v>0.38842105263157889</v>
      </c>
      <c r="L426" s="4">
        <v>0.66841232451375232</v>
      </c>
      <c r="O426" s="4">
        <v>-2.5876009663822042</v>
      </c>
      <c r="P426" s="4">
        <v>-3.072776147578868</v>
      </c>
      <c r="Q426" s="4">
        <v>-3.2592771021018949</v>
      </c>
      <c r="R426" s="4">
        <v>-2.793024715794326</v>
      </c>
      <c r="S426" s="2">
        <v>-4.0573333333333332</v>
      </c>
      <c r="T426" s="2">
        <v>-3.2091991524563039</v>
      </c>
      <c r="W426" s="4">
        <v>-2.8020356607215229</v>
      </c>
      <c r="X426" s="4">
        <v>-3.3274173471068091</v>
      </c>
      <c r="Y426" s="4">
        <v>-3.6892341007650722</v>
      </c>
      <c r="Z426" s="4">
        <v>-2.784692216619415</v>
      </c>
      <c r="AA426" s="2">
        <v>-4.0805500000000006</v>
      </c>
      <c r="AB426" s="2">
        <v>-3.0132758548398719</v>
      </c>
    </row>
    <row r="427" spans="1:28" x14ac:dyDescent="0.2">
      <c r="A427" s="2">
        <v>115100</v>
      </c>
      <c r="B427" s="2" t="s">
        <v>618</v>
      </c>
      <c r="C427" s="2" t="s">
        <v>449</v>
      </c>
      <c r="D427" s="2" t="s">
        <v>67</v>
      </c>
      <c r="E427" s="2" t="s">
        <v>29</v>
      </c>
      <c r="G427" s="2" t="str">
        <f>IFERROR(VLOOKUP(F427,Picks!$A$2:$B$231,2,0),"")</f>
        <v/>
      </c>
      <c r="H427" s="2">
        <v>14</v>
      </c>
      <c r="I427" s="4">
        <v>0.82352941176470584</v>
      </c>
      <c r="J427" s="4">
        <v>1.1299999999999999</v>
      </c>
      <c r="K427" s="4">
        <v>0.93058823529411749</v>
      </c>
      <c r="L427" s="4">
        <v>0.32337148551945449</v>
      </c>
      <c r="O427" s="4">
        <v>-3.1670793393665031</v>
      </c>
      <c r="P427" s="4">
        <v>-3.344121041567115</v>
      </c>
      <c r="Q427" s="4">
        <v>-3.4895280892078788</v>
      </c>
      <c r="R427" s="4">
        <v>-3.1260104701059701</v>
      </c>
      <c r="S427" s="2">
        <v>-4.5413333333333332</v>
      </c>
      <c r="T427" s="2">
        <v>-3.428344275360538</v>
      </c>
      <c r="W427" s="4">
        <v>-2.8021943382213181</v>
      </c>
      <c r="X427" s="4">
        <v>-2.9588387422212681</v>
      </c>
      <c r="Y427" s="4">
        <v>-3.408962428750963</v>
      </c>
      <c r="Z427" s="4">
        <v>-2.2836532124267248</v>
      </c>
      <c r="AA427" s="2">
        <v>-3.770550000000001</v>
      </c>
      <c r="AB427" s="2">
        <v>-2.471108672177333</v>
      </c>
    </row>
    <row r="428" spans="1:28" x14ac:dyDescent="0.2">
      <c r="A428" s="2">
        <v>96652</v>
      </c>
      <c r="B428" s="2" t="s">
        <v>618</v>
      </c>
      <c r="C428" s="2" t="s">
        <v>73</v>
      </c>
      <c r="D428" s="2" t="s">
        <v>47</v>
      </c>
      <c r="E428" s="2" t="s">
        <v>29</v>
      </c>
      <c r="G428" s="2" t="str">
        <f>IFERROR(VLOOKUP(F428,Picks!$A$2:$B$231,2,0),"")</f>
        <v/>
      </c>
      <c r="H428" s="2">
        <v>13</v>
      </c>
      <c r="I428" s="4">
        <v>0.34210526315789469</v>
      </c>
      <c r="J428" s="4">
        <v>0.56000000000000005</v>
      </c>
      <c r="K428" s="4">
        <v>0.1915789473684211</v>
      </c>
      <c r="L428" s="4">
        <v>0.33465094020201691</v>
      </c>
      <c r="O428" s="4">
        <v>-2.621890665051696</v>
      </c>
      <c r="P428" s="4">
        <v>-3.2666178777693271</v>
      </c>
      <c r="Q428" s="4">
        <v>-3.4681364629004068</v>
      </c>
      <c r="R428" s="4">
        <v>-2.9643400000727058</v>
      </c>
      <c r="S428" s="2">
        <v>-4.3173333333333339</v>
      </c>
      <c r="T428" s="2">
        <v>-3.4060412577194619</v>
      </c>
      <c r="W428" s="4">
        <v>-2.8422959961997649</v>
      </c>
      <c r="X428" s="4">
        <v>-3.5412212411669208</v>
      </c>
      <c r="Y428" s="4">
        <v>-3.9243006643898082</v>
      </c>
      <c r="Z428" s="4">
        <v>-2.9666021063325911</v>
      </c>
      <c r="AA428" s="2">
        <v>-4.3405500000000004</v>
      </c>
      <c r="AB428" s="2">
        <v>-3.210117960103029</v>
      </c>
    </row>
    <row r="429" spans="1:28" x14ac:dyDescent="0.2">
      <c r="A429" s="2">
        <v>88479</v>
      </c>
      <c r="B429" s="2" t="s">
        <v>618</v>
      </c>
      <c r="C429" s="2" t="s">
        <v>178</v>
      </c>
      <c r="D429" s="2" t="s">
        <v>35</v>
      </c>
      <c r="E429" s="2" t="s">
        <v>29</v>
      </c>
      <c r="G429" s="2" t="str">
        <f>IFERROR(VLOOKUP(F429,Picks!$A$2:$B$231,2,0),"")</f>
        <v/>
      </c>
      <c r="H429" s="2">
        <v>17</v>
      </c>
      <c r="I429" s="4">
        <v>0.44736842105263158</v>
      </c>
      <c r="J429" s="4">
        <v>0.52</v>
      </c>
      <c r="K429" s="4">
        <v>0.23263157894736841</v>
      </c>
      <c r="L429" s="4">
        <v>0.28520425163268492</v>
      </c>
      <c r="O429" s="4">
        <v>-2.72920788031858</v>
      </c>
      <c r="P429" s="4">
        <v>-3.2716056609497168</v>
      </c>
      <c r="Q429" s="4">
        <v>-3.5002686722540242</v>
      </c>
      <c r="R429" s="4">
        <v>-2.9286111439932578</v>
      </c>
      <c r="S429" s="2">
        <v>-4.3573333333333331</v>
      </c>
      <c r="T429" s="2">
        <v>-3.3649886261405149</v>
      </c>
      <c r="W429" s="4">
        <v>-2.959565658685996</v>
      </c>
      <c r="X429" s="4">
        <v>-3.547744322715074</v>
      </c>
      <c r="Y429" s="4">
        <v>-3.960464751101306</v>
      </c>
      <c r="Z429" s="4">
        <v>-2.9286636801357262</v>
      </c>
      <c r="AA429" s="2">
        <v>-4.3805500000000013</v>
      </c>
      <c r="AB429" s="2">
        <v>-3.169065328524082</v>
      </c>
    </row>
    <row r="430" spans="1:28" x14ac:dyDescent="0.2">
      <c r="A430" s="2">
        <v>92811</v>
      </c>
      <c r="B430" s="2" t="s">
        <v>618</v>
      </c>
      <c r="C430" s="2" t="s">
        <v>218</v>
      </c>
      <c r="D430" s="2" t="s">
        <v>65</v>
      </c>
      <c r="E430" s="2" t="s">
        <v>27</v>
      </c>
      <c r="G430" s="2" t="str">
        <f>IFERROR(VLOOKUP(F430,Picks!$A$2:$B$231,2,0),"")</f>
        <v/>
      </c>
      <c r="I430" s="4"/>
      <c r="J430" s="4"/>
      <c r="K430" s="4"/>
      <c r="L430" s="4"/>
      <c r="O430" s="4"/>
      <c r="P430" s="4"/>
      <c r="Q430" s="4"/>
      <c r="R430" s="4"/>
      <c r="W430" s="4"/>
      <c r="X430" s="4"/>
      <c r="Y430" s="4"/>
      <c r="Z430" s="4"/>
    </row>
    <row r="431" spans="1:28" x14ac:dyDescent="0.2">
      <c r="A431" s="2">
        <v>123359</v>
      </c>
      <c r="B431" s="2" t="s">
        <v>618</v>
      </c>
      <c r="C431" s="2" t="s">
        <v>501</v>
      </c>
      <c r="D431" s="2" t="s">
        <v>26</v>
      </c>
      <c r="E431" s="2" t="s">
        <v>27</v>
      </c>
      <c r="G431" s="2" t="str">
        <f>IFERROR(VLOOKUP(F431,Picks!$A$2:$B$231,2,0),"")</f>
        <v/>
      </c>
      <c r="I431" s="4"/>
      <c r="J431" s="4"/>
      <c r="K431" s="4"/>
      <c r="L431" s="4"/>
      <c r="O431" s="4"/>
      <c r="P431" s="4"/>
      <c r="Q431" s="4"/>
      <c r="R431" s="4"/>
      <c r="W431" s="4"/>
      <c r="X431" s="4"/>
      <c r="Y431" s="4"/>
      <c r="Z431" s="4"/>
    </row>
    <row r="432" spans="1:28" x14ac:dyDescent="0.2">
      <c r="A432" s="2">
        <v>140906</v>
      </c>
      <c r="B432" s="2" t="s">
        <v>618</v>
      </c>
      <c r="C432" s="2" t="s">
        <v>576</v>
      </c>
      <c r="D432" s="2" t="s">
        <v>77</v>
      </c>
      <c r="E432" s="2" t="s">
        <v>27</v>
      </c>
      <c r="G432" s="2" t="str">
        <f>IFERROR(VLOOKUP(F432,Picks!$A$2:$B$231,2,0),"")</f>
        <v/>
      </c>
      <c r="I432" s="4"/>
      <c r="J432" s="4"/>
      <c r="K432" s="4"/>
      <c r="L432" s="4"/>
      <c r="O432" s="4"/>
      <c r="P432" s="4"/>
      <c r="Q432" s="4"/>
      <c r="R432" s="4"/>
      <c r="W432" s="4"/>
      <c r="X432" s="4"/>
      <c r="Y432" s="4"/>
      <c r="Z432" s="4"/>
    </row>
    <row r="433" spans="1:26" x14ac:dyDescent="0.2">
      <c r="A433" s="2">
        <v>145705</v>
      </c>
      <c r="B433" s="2" t="s">
        <v>618</v>
      </c>
      <c r="C433" s="2" t="s">
        <v>607</v>
      </c>
      <c r="D433" s="2" t="s">
        <v>47</v>
      </c>
      <c r="E433" s="2" t="s">
        <v>27</v>
      </c>
      <c r="G433" s="2" t="str">
        <f>IFERROR(VLOOKUP(F433,Picks!$A$2:$B$231,2,0),"")</f>
        <v/>
      </c>
      <c r="I433" s="4"/>
      <c r="J433" s="4"/>
      <c r="K433" s="4"/>
      <c r="L433" s="4"/>
      <c r="O433" s="4"/>
      <c r="P433" s="4"/>
      <c r="Q433" s="4"/>
      <c r="R433" s="4"/>
      <c r="W433" s="4"/>
      <c r="X433" s="4"/>
      <c r="Y433" s="4"/>
      <c r="Z433" s="4"/>
    </row>
    <row r="434" spans="1:26" x14ac:dyDescent="0.2">
      <c r="A434" s="2">
        <v>107700</v>
      </c>
      <c r="B434" s="2" t="s">
        <v>618</v>
      </c>
      <c r="C434" s="2" t="s">
        <v>383</v>
      </c>
      <c r="D434" s="2" t="s">
        <v>118</v>
      </c>
      <c r="E434" s="2" t="s">
        <v>27</v>
      </c>
      <c r="G434" s="2" t="str">
        <f>IFERROR(VLOOKUP(F434,Picks!$A$2:$B$231,2,0),"")</f>
        <v/>
      </c>
      <c r="I434" s="4"/>
      <c r="J434" s="4"/>
      <c r="K434" s="4"/>
      <c r="L434" s="4"/>
      <c r="O434" s="4"/>
      <c r="P434" s="4"/>
      <c r="Q434" s="4"/>
      <c r="R434" s="4"/>
      <c r="W434" s="4"/>
      <c r="X434" s="4"/>
      <c r="Y434" s="4"/>
      <c r="Z434" s="4"/>
    </row>
    <row r="435" spans="1:26" x14ac:dyDescent="0.2">
      <c r="A435" s="2">
        <v>106104</v>
      </c>
      <c r="B435" s="2" t="s">
        <v>618</v>
      </c>
      <c r="C435" s="2" t="s">
        <v>365</v>
      </c>
      <c r="D435" s="2" t="s">
        <v>31</v>
      </c>
      <c r="E435" s="2" t="s">
        <v>27</v>
      </c>
      <c r="G435" s="2" t="str">
        <f>IFERROR(VLOOKUP(F435,Picks!$A$2:$B$231,2,0),"")</f>
        <v/>
      </c>
      <c r="I435" s="4"/>
      <c r="J435" s="4"/>
      <c r="K435" s="4"/>
      <c r="L435" s="4"/>
      <c r="O435" s="4"/>
      <c r="P435" s="4"/>
      <c r="Q435" s="4"/>
      <c r="R435" s="4"/>
      <c r="W435" s="4"/>
      <c r="X435" s="4"/>
      <c r="Y435" s="4"/>
      <c r="Z435" s="4"/>
    </row>
    <row r="436" spans="1:26" x14ac:dyDescent="0.2">
      <c r="A436" s="2">
        <v>122127</v>
      </c>
      <c r="B436" s="2" t="s">
        <v>618</v>
      </c>
      <c r="C436" s="2" t="s">
        <v>287</v>
      </c>
      <c r="D436" s="2" t="s">
        <v>35</v>
      </c>
      <c r="E436" s="2" t="s">
        <v>27</v>
      </c>
      <c r="G436" s="2" t="str">
        <f>IFERROR(VLOOKUP(F436,Picks!$A$2:$B$231,2,0),"")</f>
        <v/>
      </c>
      <c r="I436" s="4"/>
      <c r="J436" s="4"/>
      <c r="K436" s="4"/>
      <c r="L436" s="4"/>
      <c r="O436" s="4"/>
      <c r="P436" s="4"/>
      <c r="Q436" s="4"/>
      <c r="R436" s="4"/>
      <c r="W436" s="4"/>
      <c r="X436" s="4"/>
      <c r="Y436" s="4"/>
      <c r="Z436" s="4"/>
    </row>
    <row r="437" spans="1:26" x14ac:dyDescent="0.2">
      <c r="A437" s="2">
        <v>122487</v>
      </c>
      <c r="B437" s="2" t="s">
        <v>618</v>
      </c>
      <c r="C437" s="2" t="s">
        <v>492</v>
      </c>
      <c r="D437" s="2" t="s">
        <v>67</v>
      </c>
      <c r="E437" s="2" t="s">
        <v>27</v>
      </c>
      <c r="G437" s="2" t="str">
        <f>IFERROR(VLOOKUP(F437,Picks!$A$2:$B$231,2,0),"")</f>
        <v/>
      </c>
      <c r="I437" s="4"/>
      <c r="J437" s="4"/>
      <c r="K437" s="4"/>
      <c r="L437" s="4"/>
      <c r="O437" s="4"/>
      <c r="P437" s="4"/>
      <c r="Q437" s="4"/>
      <c r="R437" s="4"/>
      <c r="W437" s="4"/>
      <c r="X437" s="4"/>
      <c r="Y437" s="4"/>
      <c r="Z437" s="4"/>
    </row>
    <row r="438" spans="1:26" x14ac:dyDescent="0.2">
      <c r="A438" s="2">
        <v>122439</v>
      </c>
      <c r="B438" s="2" t="s">
        <v>618</v>
      </c>
      <c r="C438" s="2" t="s">
        <v>488</v>
      </c>
      <c r="D438" s="2" t="s">
        <v>43</v>
      </c>
      <c r="E438" s="2" t="s">
        <v>27</v>
      </c>
      <c r="G438" s="2" t="str">
        <f>IFERROR(VLOOKUP(F438,Picks!$A$2:$B$231,2,0),"")</f>
        <v/>
      </c>
      <c r="I438" s="4"/>
      <c r="J438" s="4"/>
      <c r="K438" s="4"/>
      <c r="L438" s="4"/>
      <c r="O438" s="4"/>
      <c r="P438" s="4"/>
      <c r="Q438" s="4"/>
      <c r="R438" s="4"/>
      <c r="W438" s="4"/>
      <c r="X438" s="4"/>
      <c r="Y438" s="4"/>
      <c r="Z438" s="4"/>
    </row>
    <row r="439" spans="1:26" x14ac:dyDescent="0.2">
      <c r="A439" s="2">
        <v>146894</v>
      </c>
      <c r="B439" s="2" t="s">
        <v>618</v>
      </c>
      <c r="C439" s="2" t="s">
        <v>611</v>
      </c>
      <c r="D439" s="2" t="s">
        <v>63</v>
      </c>
      <c r="E439" s="2" t="s">
        <v>27</v>
      </c>
      <c r="G439" s="2" t="str">
        <f>IFERROR(VLOOKUP(F439,Picks!$A$2:$B$231,2,0),"")</f>
        <v/>
      </c>
      <c r="I439" s="4"/>
      <c r="J439" s="4"/>
      <c r="K439" s="4"/>
      <c r="L439" s="4"/>
      <c r="O439" s="4"/>
      <c r="P439" s="4"/>
      <c r="Q439" s="4"/>
      <c r="R439" s="4"/>
      <c r="W439" s="4"/>
      <c r="X439" s="4"/>
      <c r="Y439" s="4"/>
      <c r="Z439" s="4"/>
    </row>
    <row r="440" spans="1:26" x14ac:dyDescent="0.2">
      <c r="A440" s="2">
        <v>146375</v>
      </c>
      <c r="B440" s="2" t="s">
        <v>618</v>
      </c>
      <c r="C440" s="2" t="s">
        <v>609</v>
      </c>
      <c r="D440" s="2" t="s">
        <v>61</v>
      </c>
      <c r="E440" s="2" t="s">
        <v>27</v>
      </c>
      <c r="G440" s="2" t="str">
        <f>IFERROR(VLOOKUP(F440,Picks!$A$2:$B$231,2,0),"")</f>
        <v/>
      </c>
      <c r="I440" s="4"/>
      <c r="J440" s="4"/>
      <c r="K440" s="4"/>
      <c r="L440" s="4"/>
      <c r="O440" s="4"/>
      <c r="P440" s="4"/>
      <c r="Q440" s="4"/>
      <c r="R440" s="4"/>
      <c r="W440" s="4"/>
      <c r="X440" s="4"/>
      <c r="Y440" s="4"/>
      <c r="Z440" s="4"/>
    </row>
    <row r="441" spans="1:26" x14ac:dyDescent="0.2">
      <c r="A441" s="2">
        <v>137542</v>
      </c>
      <c r="B441" s="2" t="s">
        <v>618</v>
      </c>
      <c r="C441" s="2" t="s">
        <v>568</v>
      </c>
      <c r="D441" s="2" t="s">
        <v>35</v>
      </c>
      <c r="E441" s="2" t="s">
        <v>27</v>
      </c>
      <c r="G441" s="2" t="str">
        <f>IFERROR(VLOOKUP(F441,Picks!$A$2:$B$231,2,0),"")</f>
        <v/>
      </c>
      <c r="I441" s="4"/>
      <c r="J441" s="4"/>
      <c r="K441" s="4"/>
      <c r="L441" s="4"/>
      <c r="O441" s="4"/>
      <c r="P441" s="4"/>
      <c r="Q441" s="4"/>
      <c r="R441" s="4"/>
      <c r="W441" s="4"/>
      <c r="X441" s="4"/>
      <c r="Y441" s="4"/>
      <c r="Z441" s="4"/>
    </row>
    <row r="442" spans="1:26" x14ac:dyDescent="0.2">
      <c r="A442" s="2">
        <v>145379</v>
      </c>
      <c r="B442" s="2" t="s">
        <v>618</v>
      </c>
      <c r="C442" s="2" t="s">
        <v>602</v>
      </c>
      <c r="D442" s="2" t="s">
        <v>45</v>
      </c>
      <c r="E442" s="2" t="s">
        <v>27</v>
      </c>
      <c r="G442" s="2" t="str">
        <f>IFERROR(VLOOKUP(F442,Picks!$A$2:$B$231,2,0),"")</f>
        <v/>
      </c>
      <c r="I442" s="4"/>
      <c r="J442" s="4"/>
      <c r="K442" s="4"/>
      <c r="L442" s="4"/>
      <c r="O442" s="4"/>
      <c r="P442" s="4"/>
      <c r="Q442" s="4"/>
      <c r="R442" s="4"/>
      <c r="W442" s="4"/>
      <c r="X442" s="4"/>
      <c r="Y442" s="4"/>
      <c r="Z442" s="4"/>
    </row>
    <row r="443" spans="1:26" x14ac:dyDescent="0.2">
      <c r="A443" s="2">
        <v>121824</v>
      </c>
      <c r="B443" s="2" t="s">
        <v>618</v>
      </c>
      <c r="C443" s="2" t="s">
        <v>480</v>
      </c>
      <c r="D443" s="2" t="s">
        <v>99</v>
      </c>
      <c r="E443" s="2" t="s">
        <v>27</v>
      </c>
      <c r="G443" s="2" t="str">
        <f>IFERROR(VLOOKUP(F443,Picks!$A$2:$B$231,2,0),"")</f>
        <v/>
      </c>
      <c r="I443" s="4"/>
      <c r="J443" s="4"/>
      <c r="K443" s="4"/>
      <c r="L443" s="4"/>
      <c r="O443" s="4"/>
      <c r="P443" s="4"/>
      <c r="Q443" s="4"/>
      <c r="R443" s="4"/>
      <c r="W443" s="4"/>
      <c r="X443" s="4"/>
      <c r="Y443" s="4"/>
      <c r="Z443" s="4"/>
    </row>
    <row r="444" spans="1:26" x14ac:dyDescent="0.2">
      <c r="A444" s="2">
        <v>109138</v>
      </c>
      <c r="B444" s="2" t="s">
        <v>618</v>
      </c>
      <c r="C444" s="2" t="s">
        <v>400</v>
      </c>
      <c r="D444" s="2" t="s">
        <v>33</v>
      </c>
      <c r="E444" s="2" t="s">
        <v>27</v>
      </c>
      <c r="G444" s="2" t="str">
        <f>IFERROR(VLOOKUP(F444,Picks!$A$2:$B$231,2,0),"")</f>
        <v/>
      </c>
      <c r="I444" s="4"/>
      <c r="J444" s="4"/>
      <c r="K444" s="4"/>
      <c r="L444" s="4"/>
      <c r="O444" s="4"/>
      <c r="P444" s="4"/>
      <c r="Q444" s="4"/>
      <c r="R444" s="4"/>
      <c r="W444" s="4"/>
      <c r="X444" s="4"/>
      <c r="Y444" s="4"/>
      <c r="Z444" s="4"/>
    </row>
    <row r="445" spans="1:26" x14ac:dyDescent="0.2">
      <c r="A445" s="2">
        <v>115915</v>
      </c>
      <c r="B445" s="2" t="s">
        <v>618</v>
      </c>
      <c r="C445" s="2" t="s">
        <v>458</v>
      </c>
      <c r="D445" s="2" t="s">
        <v>23</v>
      </c>
      <c r="E445" s="2" t="s">
        <v>27</v>
      </c>
      <c r="G445" s="2" t="str">
        <f>IFERROR(VLOOKUP(F445,Picks!$A$2:$B$231,2,0),"")</f>
        <v/>
      </c>
      <c r="I445" s="4"/>
      <c r="J445" s="4"/>
      <c r="K445" s="4"/>
      <c r="L445" s="4"/>
      <c r="O445" s="4"/>
      <c r="P445" s="4"/>
      <c r="Q445" s="4"/>
      <c r="R445" s="4"/>
      <c r="W445" s="4"/>
      <c r="X445" s="4"/>
      <c r="Y445" s="4"/>
      <c r="Z445" s="4"/>
    </row>
    <row r="446" spans="1:26" x14ac:dyDescent="0.2">
      <c r="A446" s="2">
        <v>123101</v>
      </c>
      <c r="B446" s="2" t="s">
        <v>618</v>
      </c>
      <c r="C446" s="2" t="s">
        <v>500</v>
      </c>
      <c r="D446" s="2" t="s">
        <v>43</v>
      </c>
      <c r="E446" s="2" t="s">
        <v>27</v>
      </c>
      <c r="G446" s="2" t="str">
        <f>IFERROR(VLOOKUP(F446,Picks!$A$2:$B$231,2,0),"")</f>
        <v/>
      </c>
      <c r="I446" s="4"/>
      <c r="J446" s="4"/>
      <c r="K446" s="4"/>
      <c r="L446" s="4"/>
      <c r="O446" s="4"/>
      <c r="P446" s="4"/>
      <c r="Q446" s="4"/>
      <c r="R446" s="4"/>
      <c r="W446" s="4"/>
      <c r="X446" s="4"/>
      <c r="Y446" s="4"/>
      <c r="Z446" s="4"/>
    </row>
    <row r="447" spans="1:26" x14ac:dyDescent="0.2">
      <c r="A447" s="2">
        <v>141609</v>
      </c>
      <c r="B447" s="2" t="s">
        <v>618</v>
      </c>
      <c r="C447" s="2" t="s">
        <v>580</v>
      </c>
      <c r="D447" s="2" t="s">
        <v>52</v>
      </c>
      <c r="E447" s="2" t="s">
        <v>27</v>
      </c>
      <c r="G447" s="2" t="str">
        <f>IFERROR(VLOOKUP(F447,Picks!$A$2:$B$231,2,0),"")</f>
        <v/>
      </c>
      <c r="I447" s="4"/>
      <c r="J447" s="4"/>
      <c r="K447" s="4"/>
      <c r="L447" s="4"/>
      <c r="O447" s="4"/>
      <c r="P447" s="4"/>
      <c r="Q447" s="4"/>
      <c r="R447" s="4"/>
      <c r="W447" s="4"/>
      <c r="X447" s="4"/>
      <c r="Y447" s="4"/>
      <c r="Z447" s="4"/>
    </row>
    <row r="448" spans="1:26" x14ac:dyDescent="0.2">
      <c r="A448" s="2">
        <v>130612</v>
      </c>
      <c r="B448" s="2" t="s">
        <v>618</v>
      </c>
      <c r="C448" s="2" t="s">
        <v>541</v>
      </c>
      <c r="D448" s="2" t="s">
        <v>65</v>
      </c>
      <c r="E448" s="2" t="s">
        <v>27</v>
      </c>
      <c r="G448" s="2" t="str">
        <f>IFERROR(VLOOKUP(F448,Picks!$A$2:$B$231,2,0),"")</f>
        <v/>
      </c>
      <c r="I448" s="4"/>
      <c r="J448" s="4"/>
      <c r="K448" s="4"/>
      <c r="L448" s="4"/>
      <c r="O448" s="4"/>
      <c r="P448" s="4"/>
      <c r="Q448" s="4"/>
      <c r="R448" s="4"/>
      <c r="W448" s="4"/>
      <c r="X448" s="4"/>
      <c r="Y448" s="4"/>
      <c r="Z448" s="4"/>
    </row>
    <row r="449" spans="1:26" x14ac:dyDescent="0.2">
      <c r="A449" s="2">
        <v>90715</v>
      </c>
      <c r="B449" s="2" t="s">
        <v>618</v>
      </c>
      <c r="C449" s="2" t="s">
        <v>197</v>
      </c>
      <c r="D449" s="2" t="s">
        <v>43</v>
      </c>
      <c r="E449" s="2" t="s">
        <v>27</v>
      </c>
      <c r="G449" s="2" t="str">
        <f>IFERROR(VLOOKUP(F449,Picks!$A$2:$B$231,2,0),"")</f>
        <v/>
      </c>
      <c r="I449" s="4"/>
      <c r="J449" s="4"/>
      <c r="K449" s="4"/>
      <c r="L449" s="4"/>
      <c r="O449" s="4"/>
      <c r="P449" s="4"/>
      <c r="Q449" s="4"/>
      <c r="R449" s="4"/>
      <c r="W449" s="4"/>
      <c r="X449" s="4"/>
      <c r="Y449" s="4"/>
      <c r="Z449" s="4"/>
    </row>
    <row r="450" spans="1:26" x14ac:dyDescent="0.2">
      <c r="A450" s="2">
        <v>101717</v>
      </c>
      <c r="B450" s="2" t="s">
        <v>618</v>
      </c>
      <c r="C450" s="2" t="s">
        <v>306</v>
      </c>
      <c r="D450" s="2" t="s">
        <v>118</v>
      </c>
      <c r="E450" s="2" t="s">
        <v>27</v>
      </c>
      <c r="G450" s="2" t="str">
        <f>IFERROR(VLOOKUP(F450,Picks!$A$2:$B$231,2,0),"")</f>
        <v/>
      </c>
      <c r="I450" s="4"/>
      <c r="J450" s="4"/>
      <c r="K450" s="4"/>
      <c r="L450" s="4"/>
      <c r="O450" s="4"/>
      <c r="P450" s="4"/>
      <c r="Q450" s="4"/>
      <c r="R450" s="4"/>
      <c r="W450" s="4"/>
      <c r="X450" s="4"/>
      <c r="Y450" s="4"/>
      <c r="Z450" s="4"/>
    </row>
    <row r="451" spans="1:26" x14ac:dyDescent="0.2">
      <c r="A451" s="2">
        <v>102561</v>
      </c>
      <c r="B451" s="2" t="s">
        <v>618</v>
      </c>
      <c r="C451" s="2" t="s">
        <v>314</v>
      </c>
      <c r="D451" s="2" t="s">
        <v>43</v>
      </c>
      <c r="E451" s="2" t="s">
        <v>27</v>
      </c>
      <c r="G451" s="2" t="str">
        <f>IFERROR(VLOOKUP(F451,Picks!$A$2:$B$231,2,0),"")</f>
        <v/>
      </c>
      <c r="I451" s="4"/>
      <c r="J451" s="4"/>
      <c r="K451" s="4"/>
      <c r="L451" s="4"/>
      <c r="O451" s="4"/>
      <c r="P451" s="4"/>
      <c r="Q451" s="4"/>
      <c r="R451" s="4"/>
      <c r="W451" s="4"/>
      <c r="X451" s="4"/>
      <c r="Y451" s="4"/>
      <c r="Z451" s="4"/>
    </row>
    <row r="452" spans="1:26" x14ac:dyDescent="0.2">
      <c r="A452" s="2">
        <v>133673</v>
      </c>
      <c r="B452" s="2" t="s">
        <v>618</v>
      </c>
      <c r="C452" s="2" t="s">
        <v>563</v>
      </c>
      <c r="D452" s="2" t="s">
        <v>50</v>
      </c>
      <c r="E452" s="2" t="s">
        <v>27</v>
      </c>
      <c r="G452" s="2" t="str">
        <f>IFERROR(VLOOKUP(F452,Picks!$A$2:$B$231,2,0),"")</f>
        <v/>
      </c>
      <c r="I452" s="4"/>
      <c r="J452" s="4"/>
      <c r="K452" s="4"/>
      <c r="L452" s="4"/>
      <c r="O452" s="4"/>
      <c r="P452" s="4"/>
      <c r="Q452" s="4"/>
      <c r="R452" s="4"/>
      <c r="W452" s="4"/>
      <c r="X452" s="4"/>
      <c r="Y452" s="4"/>
      <c r="Z452" s="4"/>
    </row>
    <row r="453" spans="1:26" x14ac:dyDescent="0.2">
      <c r="A453" s="2">
        <v>124757</v>
      </c>
      <c r="B453" s="2" t="s">
        <v>618</v>
      </c>
      <c r="C453" s="2" t="s">
        <v>516</v>
      </c>
      <c r="D453" s="2" t="s">
        <v>61</v>
      </c>
      <c r="E453" s="2" t="s">
        <v>27</v>
      </c>
      <c r="G453" s="2" t="str">
        <f>IFERROR(VLOOKUP(F453,Picks!$A$2:$B$231,2,0),"")</f>
        <v/>
      </c>
      <c r="I453" s="4"/>
      <c r="J453" s="4"/>
      <c r="K453" s="4"/>
      <c r="L453" s="4"/>
      <c r="O453" s="4"/>
      <c r="P453" s="4"/>
      <c r="Q453" s="4"/>
      <c r="R453" s="4"/>
      <c r="W453" s="4"/>
      <c r="X453" s="4"/>
      <c r="Y453" s="4"/>
      <c r="Z453" s="4"/>
    </row>
    <row r="454" spans="1:26" x14ac:dyDescent="0.2">
      <c r="A454" s="2">
        <v>102667</v>
      </c>
      <c r="B454" s="2" t="s">
        <v>618</v>
      </c>
      <c r="C454" s="2" t="s">
        <v>315</v>
      </c>
      <c r="D454" s="2" t="s">
        <v>41</v>
      </c>
      <c r="E454" s="2" t="s">
        <v>27</v>
      </c>
      <c r="G454" s="2" t="str">
        <f>IFERROR(VLOOKUP(F454,Picks!$A$2:$B$231,2,0),"")</f>
        <v/>
      </c>
      <c r="I454" s="4"/>
      <c r="J454" s="4"/>
      <c r="K454" s="4"/>
      <c r="L454" s="4"/>
      <c r="O454" s="4"/>
      <c r="P454" s="4"/>
      <c r="Q454" s="4"/>
      <c r="R454" s="4"/>
      <c r="W454" s="4"/>
      <c r="X454" s="4"/>
      <c r="Y454" s="4"/>
      <c r="Z454" s="4"/>
    </row>
    <row r="455" spans="1:26" x14ac:dyDescent="0.2">
      <c r="A455" s="2">
        <v>88293</v>
      </c>
      <c r="B455" s="2" t="s">
        <v>618</v>
      </c>
      <c r="C455" s="2" t="s">
        <v>175</v>
      </c>
      <c r="D455" s="2" t="s">
        <v>63</v>
      </c>
      <c r="E455" s="2" t="s">
        <v>27</v>
      </c>
      <c r="G455" s="2" t="str">
        <f>IFERROR(VLOOKUP(F455,Picks!$A$2:$B$231,2,0),"")</f>
        <v/>
      </c>
      <c r="I455" s="4"/>
      <c r="J455" s="4"/>
      <c r="K455" s="4"/>
      <c r="L455" s="4"/>
      <c r="O455" s="4"/>
      <c r="P455" s="4"/>
      <c r="Q455" s="4"/>
      <c r="R455" s="4"/>
      <c r="W455" s="4"/>
      <c r="X455" s="4"/>
      <c r="Y455" s="4"/>
      <c r="Z455" s="4"/>
    </row>
    <row r="456" spans="1:26" x14ac:dyDescent="0.2">
      <c r="A456" s="2">
        <v>142593</v>
      </c>
      <c r="B456" s="2" t="s">
        <v>618</v>
      </c>
      <c r="C456" s="2" t="s">
        <v>590</v>
      </c>
      <c r="D456" s="2" t="s">
        <v>118</v>
      </c>
      <c r="E456" s="2" t="s">
        <v>27</v>
      </c>
      <c r="G456" s="2" t="str">
        <f>IFERROR(VLOOKUP(F456,Picks!$A$2:$B$231,2,0),"")</f>
        <v/>
      </c>
      <c r="I456" s="4"/>
      <c r="J456" s="4"/>
      <c r="K456" s="4"/>
      <c r="L456" s="4"/>
      <c r="O456" s="4"/>
      <c r="P456" s="4"/>
      <c r="Q456" s="4"/>
      <c r="R456" s="4"/>
      <c r="W456" s="4"/>
      <c r="X456" s="4"/>
      <c r="Y456" s="4"/>
      <c r="Z456" s="4"/>
    </row>
    <row r="457" spans="1:26" x14ac:dyDescent="0.2">
      <c r="A457" s="2">
        <v>141812</v>
      </c>
      <c r="B457" s="2" t="s">
        <v>618</v>
      </c>
      <c r="C457" s="2" t="s">
        <v>571</v>
      </c>
      <c r="D457" s="2" t="s">
        <v>63</v>
      </c>
      <c r="E457" s="2" t="s">
        <v>27</v>
      </c>
      <c r="G457" s="2" t="str">
        <f>IFERROR(VLOOKUP(F457,Picks!$A$2:$B$231,2,0),"")</f>
        <v/>
      </c>
      <c r="I457" s="4"/>
      <c r="J457" s="4"/>
      <c r="K457" s="4"/>
      <c r="L457" s="4"/>
      <c r="O457" s="4"/>
      <c r="P457" s="4"/>
      <c r="Q457" s="4"/>
      <c r="R457" s="4"/>
      <c r="W457" s="4"/>
      <c r="X457" s="4"/>
      <c r="Y457" s="4"/>
      <c r="Z457" s="4"/>
    </row>
    <row r="458" spans="1:26" x14ac:dyDescent="0.2">
      <c r="A458" s="2">
        <v>94286</v>
      </c>
      <c r="B458" s="2" t="s">
        <v>618</v>
      </c>
      <c r="C458" s="2" t="s">
        <v>228</v>
      </c>
      <c r="D458" s="2" t="s">
        <v>63</v>
      </c>
      <c r="E458" s="2" t="s">
        <v>27</v>
      </c>
      <c r="G458" s="2" t="str">
        <f>IFERROR(VLOOKUP(F458,Picks!$A$2:$B$231,2,0),"")</f>
        <v/>
      </c>
      <c r="I458" s="4"/>
      <c r="J458" s="4"/>
      <c r="K458" s="4"/>
      <c r="L458" s="4"/>
      <c r="O458" s="4"/>
      <c r="P458" s="4"/>
      <c r="Q458" s="4"/>
      <c r="R458" s="4"/>
      <c r="W458" s="4"/>
      <c r="X458" s="4"/>
      <c r="Y458" s="4"/>
      <c r="Z458" s="4"/>
    </row>
    <row r="459" spans="1:26" x14ac:dyDescent="0.2">
      <c r="A459" s="2">
        <v>146807</v>
      </c>
      <c r="B459" s="2" t="s">
        <v>618</v>
      </c>
      <c r="C459" s="2" t="s">
        <v>610</v>
      </c>
      <c r="D459" s="2" t="s">
        <v>35</v>
      </c>
      <c r="E459" s="2" t="s">
        <v>27</v>
      </c>
      <c r="G459" s="2" t="str">
        <f>IFERROR(VLOOKUP(F459,Picks!$A$2:$B$231,2,0),"")</f>
        <v/>
      </c>
      <c r="I459" s="4"/>
      <c r="J459" s="4"/>
      <c r="K459" s="4"/>
      <c r="L459" s="4"/>
      <c r="O459" s="4"/>
      <c r="P459" s="4"/>
      <c r="Q459" s="4"/>
      <c r="R459" s="4"/>
      <c r="W459" s="4"/>
      <c r="X459" s="4"/>
      <c r="Y459" s="4"/>
      <c r="Z459" s="4"/>
    </row>
    <row r="460" spans="1:26" x14ac:dyDescent="0.2">
      <c r="A460" s="2">
        <v>143488</v>
      </c>
      <c r="B460" s="2" t="s">
        <v>618</v>
      </c>
      <c r="C460" s="2" t="s">
        <v>598</v>
      </c>
      <c r="D460" s="2" t="s">
        <v>58</v>
      </c>
      <c r="E460" s="2" t="s">
        <v>27</v>
      </c>
      <c r="G460" s="2" t="str">
        <f>IFERROR(VLOOKUP(F460,Picks!$A$2:$B$231,2,0),"")</f>
        <v/>
      </c>
      <c r="I460" s="4"/>
      <c r="J460" s="4"/>
      <c r="K460" s="4"/>
      <c r="L460" s="4"/>
      <c r="O460" s="4"/>
      <c r="P460" s="4"/>
      <c r="Q460" s="4"/>
      <c r="R460" s="4"/>
      <c r="W460" s="4"/>
      <c r="X460" s="4"/>
      <c r="Y460" s="4"/>
      <c r="Z460" s="4"/>
    </row>
    <row r="461" spans="1:26" x14ac:dyDescent="0.2">
      <c r="A461" s="2">
        <v>105518</v>
      </c>
      <c r="B461" s="2" t="s">
        <v>618</v>
      </c>
      <c r="C461" s="2" t="s">
        <v>353</v>
      </c>
      <c r="D461" s="2" t="s">
        <v>43</v>
      </c>
      <c r="E461" s="2" t="s">
        <v>27</v>
      </c>
      <c r="G461" s="2" t="str">
        <f>IFERROR(VLOOKUP(F461,Picks!$A$2:$B$231,2,0),"")</f>
        <v/>
      </c>
      <c r="I461" s="4"/>
      <c r="J461" s="4"/>
      <c r="K461" s="4"/>
      <c r="L461" s="4"/>
      <c r="O461" s="4"/>
      <c r="P461" s="4"/>
      <c r="Q461" s="4"/>
      <c r="R461" s="4"/>
      <c r="W461" s="4"/>
      <c r="X461" s="4"/>
      <c r="Y461" s="4"/>
      <c r="Z461" s="4"/>
    </row>
    <row r="462" spans="1:26" x14ac:dyDescent="0.2">
      <c r="A462" s="2">
        <v>115266</v>
      </c>
      <c r="B462" s="2" t="s">
        <v>618</v>
      </c>
      <c r="C462" s="2" t="s">
        <v>452</v>
      </c>
      <c r="D462" s="2" t="s">
        <v>43</v>
      </c>
      <c r="E462" s="2" t="s">
        <v>27</v>
      </c>
      <c r="G462" s="2" t="str">
        <f>IFERROR(VLOOKUP(F462,Picks!$A$2:$B$231,2,0),"")</f>
        <v/>
      </c>
      <c r="I462" s="4"/>
      <c r="J462" s="4"/>
      <c r="K462" s="4"/>
      <c r="L462" s="4"/>
      <c r="O462" s="4"/>
      <c r="P462" s="4"/>
      <c r="Q462" s="4"/>
      <c r="R462" s="4"/>
      <c r="W462" s="4"/>
      <c r="X462" s="4"/>
      <c r="Y462" s="4"/>
      <c r="Z462" s="4"/>
    </row>
    <row r="463" spans="1:26" x14ac:dyDescent="0.2">
      <c r="A463" s="2">
        <v>117403</v>
      </c>
      <c r="B463" s="2" t="s">
        <v>618</v>
      </c>
      <c r="C463" s="2" t="s">
        <v>467</v>
      </c>
      <c r="D463" s="2" t="s">
        <v>41</v>
      </c>
      <c r="E463" s="2" t="s">
        <v>27</v>
      </c>
      <c r="G463" s="2" t="str">
        <f>IFERROR(VLOOKUP(F463,Picks!$A$2:$B$231,2,0),"")</f>
        <v/>
      </c>
      <c r="I463" s="4"/>
      <c r="J463" s="4"/>
      <c r="K463" s="4"/>
      <c r="L463" s="4"/>
      <c r="O463" s="4"/>
      <c r="P463" s="4"/>
      <c r="Q463" s="4"/>
      <c r="R463" s="4"/>
      <c r="W463" s="4"/>
      <c r="X463" s="4"/>
      <c r="Y463" s="4"/>
      <c r="Z463" s="4"/>
    </row>
    <row r="464" spans="1:26" x14ac:dyDescent="0.2">
      <c r="A464" s="2">
        <v>140484</v>
      </c>
      <c r="B464" s="2" t="s">
        <v>618</v>
      </c>
      <c r="C464" s="2" t="s">
        <v>574</v>
      </c>
      <c r="D464" s="2" t="s">
        <v>23</v>
      </c>
      <c r="E464" s="2" t="s">
        <v>27</v>
      </c>
      <c r="G464" s="2" t="str">
        <f>IFERROR(VLOOKUP(F464,Picks!$A$2:$B$231,2,0),"")</f>
        <v/>
      </c>
      <c r="I464" s="4"/>
      <c r="J464" s="4"/>
      <c r="K464" s="4"/>
      <c r="L464" s="4"/>
      <c r="O464" s="4"/>
      <c r="P464" s="4"/>
      <c r="Q464" s="4"/>
      <c r="R464" s="4"/>
      <c r="W464" s="4"/>
      <c r="X464" s="4"/>
      <c r="Y464" s="4"/>
      <c r="Z464" s="4"/>
    </row>
    <row r="465" spans="1:26" x14ac:dyDescent="0.2">
      <c r="A465" s="2">
        <v>99147</v>
      </c>
      <c r="B465" s="2" t="s">
        <v>618</v>
      </c>
      <c r="C465" s="2" t="s">
        <v>276</v>
      </c>
      <c r="D465" s="2" t="s">
        <v>41</v>
      </c>
      <c r="E465" s="2" t="s">
        <v>27</v>
      </c>
      <c r="G465" s="2" t="str">
        <f>IFERROR(VLOOKUP(F465,Picks!$A$2:$B$231,2,0),"")</f>
        <v/>
      </c>
      <c r="I465" s="4"/>
      <c r="J465" s="4"/>
      <c r="K465" s="4"/>
      <c r="L465" s="4"/>
      <c r="O465" s="4"/>
      <c r="P465" s="4"/>
      <c r="Q465" s="4"/>
      <c r="R465" s="4"/>
      <c r="W465" s="4"/>
      <c r="X465" s="4"/>
      <c r="Y465" s="4"/>
      <c r="Z465" s="4"/>
    </row>
    <row r="466" spans="1:26" x14ac:dyDescent="0.2">
      <c r="A466" s="2">
        <v>124834</v>
      </c>
      <c r="B466" s="2" t="s">
        <v>618</v>
      </c>
      <c r="C466" s="2" t="s">
        <v>517</v>
      </c>
      <c r="D466" s="2" t="s">
        <v>39</v>
      </c>
      <c r="E466" s="2" t="s">
        <v>27</v>
      </c>
      <c r="G466" s="2" t="str">
        <f>IFERROR(VLOOKUP(F466,Picks!$A$2:$B$231,2,0),"")</f>
        <v/>
      </c>
      <c r="I466" s="4"/>
      <c r="J466" s="4"/>
      <c r="K466" s="4"/>
      <c r="L466" s="4"/>
      <c r="O466" s="4"/>
      <c r="P466" s="4"/>
      <c r="Q466" s="4"/>
      <c r="R466" s="4"/>
      <c r="W466" s="4"/>
      <c r="X466" s="4"/>
      <c r="Y466" s="4"/>
      <c r="Z466" s="4"/>
    </row>
    <row r="467" spans="1:26" x14ac:dyDescent="0.2">
      <c r="A467" s="2">
        <v>129663</v>
      </c>
      <c r="B467" s="2" t="s">
        <v>618</v>
      </c>
      <c r="C467" s="2" t="s">
        <v>533</v>
      </c>
      <c r="D467" s="2" t="s">
        <v>45</v>
      </c>
      <c r="E467" s="2" t="s">
        <v>27</v>
      </c>
      <c r="G467" s="2" t="str">
        <f>IFERROR(VLOOKUP(F467,Picks!$A$2:$B$231,2,0),"")</f>
        <v/>
      </c>
      <c r="I467" s="4"/>
      <c r="J467" s="4"/>
      <c r="K467" s="4"/>
      <c r="L467" s="4"/>
      <c r="O467" s="4"/>
      <c r="P467" s="4"/>
      <c r="Q467" s="4"/>
      <c r="R467" s="4"/>
      <c r="W467" s="4"/>
      <c r="X467" s="4"/>
      <c r="Y467" s="4"/>
      <c r="Z467" s="4"/>
    </row>
    <row r="468" spans="1:26" x14ac:dyDescent="0.2">
      <c r="A468" s="2">
        <v>116066</v>
      </c>
      <c r="B468" s="2" t="s">
        <v>618</v>
      </c>
      <c r="C468" s="2" t="s">
        <v>460</v>
      </c>
      <c r="D468" s="2" t="s">
        <v>63</v>
      </c>
      <c r="E468" s="2" t="s">
        <v>27</v>
      </c>
      <c r="G468" s="2" t="str">
        <f>IFERROR(VLOOKUP(F468,Picks!$A$2:$B$231,2,0),"")</f>
        <v/>
      </c>
      <c r="I468" s="4"/>
      <c r="J468" s="4"/>
      <c r="K468" s="4"/>
      <c r="L468" s="4"/>
      <c r="O468" s="4"/>
      <c r="P468" s="4"/>
      <c r="Q468" s="4"/>
      <c r="R468" s="4"/>
      <c r="W468" s="4"/>
      <c r="X468" s="4"/>
      <c r="Y468" s="4"/>
      <c r="Z468" s="4"/>
    </row>
    <row r="469" spans="1:26" x14ac:dyDescent="0.2">
      <c r="A469" s="2">
        <v>140542</v>
      </c>
      <c r="B469" s="2" t="s">
        <v>618</v>
      </c>
      <c r="C469" s="2" t="s">
        <v>575</v>
      </c>
      <c r="D469" s="2" t="s">
        <v>52</v>
      </c>
      <c r="E469" s="2" t="s">
        <v>27</v>
      </c>
      <c r="G469" s="2" t="str">
        <f>IFERROR(VLOOKUP(F469,Picks!$A$2:$B$231,2,0),"")</f>
        <v/>
      </c>
      <c r="I469" s="4"/>
      <c r="J469" s="4"/>
      <c r="K469" s="4"/>
      <c r="L469" s="4"/>
      <c r="O469" s="4"/>
      <c r="P469" s="4"/>
      <c r="Q469" s="4"/>
      <c r="R469" s="4"/>
      <c r="W469" s="4"/>
      <c r="X469" s="4"/>
      <c r="Y469" s="4"/>
      <c r="Z469" s="4"/>
    </row>
    <row r="470" spans="1:26" x14ac:dyDescent="0.2">
      <c r="A470" s="2">
        <v>108474</v>
      </c>
      <c r="B470" s="2" t="s">
        <v>618</v>
      </c>
      <c r="C470" s="2" t="s">
        <v>392</v>
      </c>
      <c r="D470" s="2" t="s">
        <v>23</v>
      </c>
      <c r="E470" s="2" t="s">
        <v>27</v>
      </c>
      <c r="G470" s="2" t="str">
        <f>IFERROR(VLOOKUP(F470,Picks!$A$2:$B$231,2,0),"")</f>
        <v/>
      </c>
      <c r="I470" s="4"/>
      <c r="J470" s="4"/>
      <c r="K470" s="4"/>
      <c r="L470" s="4"/>
      <c r="O470" s="4"/>
      <c r="P470" s="4"/>
      <c r="Q470" s="4"/>
      <c r="R470" s="4"/>
      <c r="W470" s="4"/>
      <c r="X470" s="4"/>
      <c r="Y470" s="4"/>
      <c r="Z470" s="4"/>
    </row>
    <row r="471" spans="1:26" x14ac:dyDescent="0.2">
      <c r="A471" s="2">
        <v>137543</v>
      </c>
      <c r="B471" s="2" t="s">
        <v>618</v>
      </c>
      <c r="C471" s="2" t="s">
        <v>569</v>
      </c>
      <c r="D471" s="2" t="s">
        <v>35</v>
      </c>
      <c r="E471" s="2" t="s">
        <v>27</v>
      </c>
      <c r="G471" s="2" t="str">
        <f>IFERROR(VLOOKUP(F471,Picks!$A$2:$B$231,2,0),"")</f>
        <v/>
      </c>
      <c r="I471" s="4"/>
      <c r="J471" s="4"/>
      <c r="K471" s="4"/>
      <c r="L471" s="4"/>
      <c r="O471" s="4"/>
      <c r="P471" s="4"/>
      <c r="Q471" s="4"/>
      <c r="R471" s="4"/>
      <c r="W471" s="4"/>
      <c r="X471" s="4"/>
      <c r="Y471" s="4"/>
      <c r="Z471" s="4"/>
    </row>
    <row r="472" spans="1:26" x14ac:dyDescent="0.2">
      <c r="A472" s="2">
        <v>131279</v>
      </c>
      <c r="B472" s="2" t="s">
        <v>618</v>
      </c>
      <c r="C472" s="2" t="s">
        <v>549</v>
      </c>
      <c r="D472" s="2" t="s">
        <v>39</v>
      </c>
      <c r="E472" s="2" t="s">
        <v>27</v>
      </c>
      <c r="G472" s="2" t="str">
        <f>IFERROR(VLOOKUP(F472,Picks!$A$2:$B$231,2,0),"")</f>
        <v/>
      </c>
      <c r="I472" s="4"/>
      <c r="J472" s="4"/>
      <c r="K472" s="4"/>
      <c r="L472" s="4"/>
      <c r="O472" s="4"/>
      <c r="P472" s="4"/>
      <c r="Q472" s="4"/>
      <c r="R472" s="4"/>
      <c r="W472" s="4"/>
      <c r="X472" s="4"/>
      <c r="Y472" s="4"/>
      <c r="Z472" s="4"/>
    </row>
    <row r="473" spans="1:26" x14ac:dyDescent="0.2">
      <c r="A473" s="2">
        <v>131967</v>
      </c>
      <c r="B473" s="2" t="s">
        <v>618</v>
      </c>
      <c r="C473" s="2" t="s">
        <v>554</v>
      </c>
      <c r="D473" s="2" t="s">
        <v>35</v>
      </c>
      <c r="E473" s="2" t="s">
        <v>27</v>
      </c>
      <c r="G473" s="2" t="str">
        <f>IFERROR(VLOOKUP(F473,Picks!$A$2:$B$231,2,0),"")</f>
        <v/>
      </c>
      <c r="I473" s="4"/>
      <c r="J473" s="4"/>
      <c r="K473" s="4"/>
      <c r="L473" s="4"/>
      <c r="O473" s="4"/>
      <c r="P473" s="4"/>
      <c r="Q473" s="4"/>
      <c r="R473" s="4"/>
      <c r="W473" s="4"/>
      <c r="X473" s="4"/>
      <c r="Y473" s="4"/>
      <c r="Z473" s="4"/>
    </row>
    <row r="474" spans="1:26" x14ac:dyDescent="0.2">
      <c r="A474" s="2">
        <v>87887</v>
      </c>
      <c r="B474" s="2" t="s">
        <v>618</v>
      </c>
      <c r="C474" s="2" t="s">
        <v>171</v>
      </c>
      <c r="D474" s="2" t="s">
        <v>31</v>
      </c>
      <c r="E474" s="2" t="s">
        <v>53</v>
      </c>
      <c r="G474" s="2" t="str">
        <f>IFERROR(VLOOKUP(F474,Picks!$A$2:$B$231,2,0),"")</f>
        <v/>
      </c>
      <c r="I474" s="4"/>
      <c r="J474" s="4"/>
      <c r="K474" s="4"/>
      <c r="L474" s="4"/>
      <c r="O474" s="4"/>
      <c r="P474" s="4"/>
      <c r="Q474" s="4"/>
      <c r="R474" s="4"/>
      <c r="W474" s="4"/>
      <c r="X474" s="4"/>
      <c r="Y474" s="4"/>
      <c r="Z474" s="4"/>
    </row>
    <row r="475" spans="1:26" x14ac:dyDescent="0.2">
      <c r="A475" s="2">
        <v>105844</v>
      </c>
      <c r="B475" s="2" t="s">
        <v>618</v>
      </c>
      <c r="C475" s="2" t="s">
        <v>360</v>
      </c>
      <c r="D475" s="2" t="s">
        <v>43</v>
      </c>
      <c r="E475" s="2" t="s">
        <v>53</v>
      </c>
      <c r="G475" s="2" t="str">
        <f>IFERROR(VLOOKUP(F475,Picks!$A$2:$B$231,2,0),"")</f>
        <v/>
      </c>
      <c r="I475" s="4"/>
      <c r="J475" s="4"/>
      <c r="K475" s="4"/>
      <c r="L475" s="4"/>
      <c r="O475" s="4"/>
      <c r="P475" s="4"/>
      <c r="Q475" s="4"/>
      <c r="R475" s="4"/>
      <c r="W475" s="4"/>
      <c r="X475" s="4"/>
      <c r="Y475" s="4"/>
      <c r="Z475" s="4"/>
    </row>
    <row r="476" spans="1:26" x14ac:dyDescent="0.2">
      <c r="A476" s="2">
        <v>133679</v>
      </c>
      <c r="B476" s="2" t="s">
        <v>618</v>
      </c>
      <c r="C476" s="2" t="s">
        <v>564</v>
      </c>
      <c r="D476" s="2" t="s">
        <v>65</v>
      </c>
      <c r="E476" s="2" t="s">
        <v>53</v>
      </c>
      <c r="G476" s="2" t="str">
        <f>IFERROR(VLOOKUP(F476,Picks!$A$2:$B$231,2,0),"")</f>
        <v/>
      </c>
      <c r="I476" s="4"/>
      <c r="J476" s="4"/>
      <c r="K476" s="4"/>
      <c r="L476" s="4"/>
      <c r="O476" s="4"/>
      <c r="P476" s="4"/>
      <c r="Q476" s="4"/>
      <c r="R476" s="4"/>
      <c r="W476" s="4"/>
      <c r="X476" s="4"/>
      <c r="Y476" s="4"/>
      <c r="Z476" s="4"/>
    </row>
    <row r="477" spans="1:26" x14ac:dyDescent="0.2">
      <c r="A477" s="2">
        <v>72491</v>
      </c>
      <c r="B477" s="2" t="s">
        <v>618</v>
      </c>
      <c r="C477" s="2" t="s">
        <v>91</v>
      </c>
      <c r="D477" s="2" t="s">
        <v>63</v>
      </c>
      <c r="E477" s="2" t="s">
        <v>53</v>
      </c>
      <c r="G477" s="2" t="str">
        <f>IFERROR(VLOOKUP(F477,Picks!$A$2:$B$231,2,0),"")</f>
        <v/>
      </c>
      <c r="I477" s="4"/>
      <c r="J477" s="4"/>
      <c r="K477" s="4"/>
      <c r="L477" s="4"/>
      <c r="O477" s="4"/>
      <c r="P477" s="4"/>
      <c r="Q477" s="4"/>
      <c r="R477" s="4"/>
      <c r="W477" s="4"/>
      <c r="X477" s="4"/>
      <c r="Y477" s="4"/>
      <c r="Z477" s="4"/>
    </row>
    <row r="478" spans="1:26" x14ac:dyDescent="0.2">
      <c r="A478" s="2">
        <v>142049</v>
      </c>
      <c r="B478" s="2" t="s">
        <v>618</v>
      </c>
      <c r="C478" s="2" t="s">
        <v>586</v>
      </c>
      <c r="D478" s="2" t="s">
        <v>35</v>
      </c>
      <c r="E478" s="2" t="s">
        <v>53</v>
      </c>
      <c r="G478" s="2" t="str">
        <f>IFERROR(VLOOKUP(F478,Picks!$A$2:$B$231,2,0),"")</f>
        <v/>
      </c>
      <c r="I478" s="4"/>
      <c r="J478" s="4"/>
      <c r="K478" s="4"/>
      <c r="L478" s="4"/>
      <c r="O478" s="4"/>
      <c r="P478" s="4"/>
      <c r="Q478" s="4"/>
      <c r="R478" s="4"/>
      <c r="W478" s="4"/>
      <c r="X478" s="4"/>
      <c r="Y478" s="4"/>
      <c r="Z478" s="4"/>
    </row>
    <row r="479" spans="1:26" x14ac:dyDescent="0.2">
      <c r="A479" s="2">
        <v>95620</v>
      </c>
      <c r="B479" s="2" t="s">
        <v>618</v>
      </c>
      <c r="C479" s="2" t="s">
        <v>237</v>
      </c>
      <c r="D479" s="2" t="s">
        <v>63</v>
      </c>
      <c r="E479" s="2" t="s">
        <v>53</v>
      </c>
      <c r="G479" s="2" t="str">
        <f>IFERROR(VLOOKUP(F479,Picks!$A$2:$B$231,2,0),"")</f>
        <v/>
      </c>
      <c r="I479" s="4"/>
      <c r="J479" s="4"/>
      <c r="K479" s="4"/>
      <c r="L479" s="4"/>
      <c r="O479" s="4"/>
      <c r="P479" s="4"/>
      <c r="Q479" s="4"/>
      <c r="R479" s="4"/>
      <c r="W479" s="4"/>
      <c r="X479" s="4"/>
      <c r="Y479" s="4"/>
      <c r="Z479" s="4"/>
    </row>
    <row r="480" spans="1:26" x14ac:dyDescent="0.2">
      <c r="A480" s="2">
        <v>137618</v>
      </c>
      <c r="B480" s="2" t="s">
        <v>618</v>
      </c>
      <c r="C480" s="2" t="s">
        <v>570</v>
      </c>
      <c r="D480" s="2" t="s">
        <v>58</v>
      </c>
      <c r="E480" s="2" t="s">
        <v>53</v>
      </c>
      <c r="G480" s="2" t="str">
        <f>IFERROR(VLOOKUP(F480,Picks!$A$2:$B$231,2,0),"")</f>
        <v/>
      </c>
      <c r="I480" s="4"/>
      <c r="J480" s="4"/>
      <c r="K480" s="4"/>
      <c r="L480" s="4"/>
      <c r="O480" s="4"/>
      <c r="P480" s="4"/>
      <c r="Q480" s="4"/>
      <c r="R480" s="4"/>
      <c r="W480" s="4"/>
      <c r="X480" s="4"/>
      <c r="Y480" s="4"/>
      <c r="Z480" s="4"/>
    </row>
    <row r="481" spans="1:26" x14ac:dyDescent="0.2">
      <c r="A481" s="2">
        <v>140303</v>
      </c>
      <c r="B481" s="2" t="s">
        <v>618</v>
      </c>
      <c r="C481" s="2" t="s">
        <v>573</v>
      </c>
      <c r="D481" s="2" t="s">
        <v>47</v>
      </c>
      <c r="E481" s="2" t="s">
        <v>53</v>
      </c>
      <c r="G481" s="2" t="str">
        <f>IFERROR(VLOOKUP(F481,Picks!$A$2:$B$231,2,0),"")</f>
        <v/>
      </c>
      <c r="I481" s="4"/>
      <c r="J481" s="4"/>
      <c r="K481" s="4"/>
      <c r="L481" s="4"/>
      <c r="O481" s="4"/>
      <c r="P481" s="4"/>
      <c r="Q481" s="4"/>
      <c r="R481" s="4"/>
      <c r="W481" s="4"/>
      <c r="X481" s="4"/>
      <c r="Y481" s="4"/>
      <c r="Z481" s="4"/>
    </row>
    <row r="482" spans="1:26" x14ac:dyDescent="0.2">
      <c r="A482" s="2">
        <v>106434</v>
      </c>
      <c r="B482" s="2" t="s">
        <v>618</v>
      </c>
      <c r="C482" s="2" t="s">
        <v>370</v>
      </c>
      <c r="D482" s="2" t="s">
        <v>77</v>
      </c>
      <c r="E482" s="2" t="s">
        <v>53</v>
      </c>
      <c r="G482" s="2" t="str">
        <f>IFERROR(VLOOKUP(F482,Picks!$A$2:$B$231,2,0),"")</f>
        <v/>
      </c>
      <c r="I482" s="4"/>
      <c r="J482" s="4"/>
      <c r="K482" s="4"/>
      <c r="L482" s="4"/>
      <c r="O482" s="4"/>
      <c r="P482" s="4"/>
      <c r="Q482" s="4"/>
      <c r="R482" s="4"/>
      <c r="W482" s="4"/>
      <c r="X482" s="4"/>
      <c r="Y482" s="4"/>
      <c r="Z482" s="4"/>
    </row>
    <row r="483" spans="1:26" x14ac:dyDescent="0.2">
      <c r="A483" s="2">
        <v>141419</v>
      </c>
      <c r="B483" s="2" t="s">
        <v>618</v>
      </c>
      <c r="C483" s="2" t="s">
        <v>579</v>
      </c>
      <c r="D483" s="2" t="s">
        <v>45</v>
      </c>
      <c r="E483" s="2" t="s">
        <v>53</v>
      </c>
      <c r="G483" s="2" t="str">
        <f>IFERROR(VLOOKUP(F483,Picks!$A$2:$B$231,2,0),"")</f>
        <v/>
      </c>
      <c r="I483" s="4"/>
      <c r="J483" s="4"/>
      <c r="K483" s="4"/>
      <c r="L483" s="4"/>
      <c r="O483" s="4"/>
      <c r="P483" s="4"/>
      <c r="Q483" s="4"/>
      <c r="R483" s="4"/>
      <c r="W483" s="4"/>
      <c r="X483" s="4"/>
      <c r="Y483" s="4"/>
      <c r="Z483" s="4"/>
    </row>
    <row r="484" spans="1:26" x14ac:dyDescent="0.2">
      <c r="A484" s="2">
        <v>124758</v>
      </c>
      <c r="B484" s="2" t="s">
        <v>618</v>
      </c>
      <c r="C484" s="2" t="s">
        <v>104</v>
      </c>
      <c r="D484" s="2" t="s">
        <v>77</v>
      </c>
      <c r="E484" s="2" t="s">
        <v>53</v>
      </c>
      <c r="G484" s="2" t="str">
        <f>IFERROR(VLOOKUP(F484,Picks!$A$2:$B$231,2,0),"")</f>
        <v/>
      </c>
      <c r="I484" s="4"/>
      <c r="J484" s="4"/>
      <c r="K484" s="4"/>
      <c r="L484" s="4"/>
      <c r="O484" s="4"/>
      <c r="P484" s="4"/>
      <c r="Q484" s="4"/>
      <c r="R484" s="4"/>
      <c r="W484" s="4"/>
      <c r="X484" s="4"/>
      <c r="Y484" s="4"/>
      <c r="Z484" s="4"/>
    </row>
    <row r="485" spans="1:26" x14ac:dyDescent="0.2">
      <c r="A485" s="2">
        <v>115270</v>
      </c>
      <c r="B485" s="2" t="s">
        <v>618</v>
      </c>
      <c r="C485" s="2" t="s">
        <v>453</v>
      </c>
      <c r="D485" s="2" t="s">
        <v>43</v>
      </c>
      <c r="E485" s="2" t="s">
        <v>53</v>
      </c>
      <c r="G485" s="2" t="str">
        <f>IFERROR(VLOOKUP(F485,Picks!$A$2:$B$231,2,0),"")</f>
        <v/>
      </c>
      <c r="I485" s="4"/>
      <c r="J485" s="4"/>
      <c r="K485" s="4"/>
      <c r="L485" s="4"/>
      <c r="O485" s="4"/>
      <c r="P485" s="4"/>
      <c r="Q485" s="4"/>
      <c r="R485" s="4"/>
      <c r="W485" s="4"/>
      <c r="X485" s="4"/>
      <c r="Y485" s="4"/>
      <c r="Z485" s="4"/>
    </row>
    <row r="486" spans="1:26" x14ac:dyDescent="0.2">
      <c r="A486" s="2">
        <v>118090</v>
      </c>
      <c r="B486" s="2" t="s">
        <v>618</v>
      </c>
      <c r="C486" s="2" t="s">
        <v>262</v>
      </c>
      <c r="D486" s="2" t="s">
        <v>47</v>
      </c>
      <c r="E486" s="2" t="s">
        <v>53</v>
      </c>
      <c r="G486" s="2" t="str">
        <f>IFERROR(VLOOKUP(F486,Picks!$A$2:$B$231,2,0),"")</f>
        <v/>
      </c>
      <c r="I486" s="4"/>
      <c r="J486" s="4"/>
      <c r="K486" s="4"/>
      <c r="L486" s="4"/>
      <c r="O486" s="4"/>
      <c r="P486" s="4"/>
      <c r="Q486" s="4"/>
      <c r="R486" s="4"/>
      <c r="W486" s="4"/>
      <c r="X486" s="4"/>
      <c r="Y486" s="4"/>
      <c r="Z486" s="4"/>
    </row>
    <row r="487" spans="1:26" x14ac:dyDescent="0.2">
      <c r="A487" s="2">
        <v>89493</v>
      </c>
      <c r="B487" s="2" t="s">
        <v>618</v>
      </c>
      <c r="C487" s="2" t="s">
        <v>183</v>
      </c>
      <c r="D487" s="2" t="s">
        <v>23</v>
      </c>
      <c r="E487" s="2" t="s">
        <v>53</v>
      </c>
      <c r="G487" s="2" t="str">
        <f>IFERROR(VLOOKUP(F487,Picks!$A$2:$B$231,2,0),"")</f>
        <v/>
      </c>
      <c r="I487" s="4"/>
      <c r="J487" s="4"/>
      <c r="K487" s="4"/>
      <c r="L487" s="4"/>
      <c r="O487" s="4"/>
      <c r="P487" s="4"/>
      <c r="Q487" s="4"/>
      <c r="R487" s="4"/>
      <c r="W487" s="4"/>
      <c r="X487" s="4"/>
      <c r="Y487" s="4"/>
      <c r="Z487" s="4"/>
    </row>
    <row r="488" spans="1:26" x14ac:dyDescent="0.2">
      <c r="A488" s="2">
        <v>124661</v>
      </c>
      <c r="B488" s="2" t="s">
        <v>618</v>
      </c>
      <c r="C488" s="2" t="s">
        <v>514</v>
      </c>
      <c r="D488" s="2" t="s">
        <v>26</v>
      </c>
      <c r="E488" s="2" t="s">
        <v>53</v>
      </c>
      <c r="G488" s="2" t="str">
        <f>IFERROR(VLOOKUP(F488,Picks!$A$2:$B$231,2,0),"")</f>
        <v/>
      </c>
      <c r="I488" s="4"/>
      <c r="J488" s="4"/>
      <c r="K488" s="4"/>
      <c r="L488" s="4"/>
      <c r="O488" s="4"/>
      <c r="P488" s="4"/>
      <c r="Q488" s="4"/>
      <c r="R488" s="4"/>
      <c r="W488" s="4"/>
      <c r="X488" s="4"/>
      <c r="Y488" s="4"/>
      <c r="Z488" s="4"/>
    </row>
    <row r="489" spans="1:26" x14ac:dyDescent="0.2">
      <c r="A489" s="2">
        <v>123649</v>
      </c>
      <c r="B489" s="2" t="s">
        <v>618</v>
      </c>
      <c r="C489" s="2" t="s">
        <v>505</v>
      </c>
      <c r="D489" s="2" t="s">
        <v>35</v>
      </c>
      <c r="E489" s="2" t="s">
        <v>53</v>
      </c>
      <c r="G489" s="2" t="str">
        <f>IFERROR(VLOOKUP(F489,Picks!$A$2:$B$231,2,0),"")</f>
        <v/>
      </c>
      <c r="I489" s="4"/>
      <c r="J489" s="4"/>
      <c r="K489" s="4"/>
      <c r="L489" s="4"/>
      <c r="O489" s="4"/>
      <c r="P489" s="4"/>
      <c r="Q489" s="4"/>
      <c r="R489" s="4"/>
      <c r="W489" s="4"/>
      <c r="X489" s="4"/>
      <c r="Y489" s="4"/>
      <c r="Z489" s="4"/>
    </row>
    <row r="490" spans="1:26" x14ac:dyDescent="0.2">
      <c r="A490" s="2">
        <v>111802</v>
      </c>
      <c r="B490" s="2" t="s">
        <v>618</v>
      </c>
      <c r="C490" s="2" t="s">
        <v>424</v>
      </c>
      <c r="D490" s="2" t="s">
        <v>63</v>
      </c>
      <c r="E490" s="2" t="s">
        <v>53</v>
      </c>
      <c r="G490" s="2" t="str">
        <f>IFERROR(VLOOKUP(F490,Picks!$A$2:$B$231,2,0),"")</f>
        <v/>
      </c>
      <c r="I490" s="4"/>
      <c r="J490" s="4"/>
      <c r="K490" s="4"/>
      <c r="L490" s="4"/>
      <c r="O490" s="4"/>
      <c r="P490" s="4"/>
      <c r="Q490" s="4"/>
      <c r="R490" s="4"/>
      <c r="W490" s="4"/>
      <c r="X490" s="4"/>
      <c r="Y490" s="4"/>
      <c r="Z490" s="4"/>
    </row>
    <row r="491" spans="1:26" x14ac:dyDescent="0.2">
      <c r="A491" s="2">
        <v>93372</v>
      </c>
      <c r="B491" s="2" t="s">
        <v>618</v>
      </c>
      <c r="C491" s="2" t="s">
        <v>220</v>
      </c>
      <c r="D491" s="2" t="s">
        <v>50</v>
      </c>
      <c r="E491" s="2" t="s">
        <v>53</v>
      </c>
      <c r="G491" s="2" t="str">
        <f>IFERROR(VLOOKUP(F491,Picks!$A$2:$B$231,2,0),"")</f>
        <v/>
      </c>
      <c r="I491" s="4"/>
      <c r="J491" s="4"/>
      <c r="K491" s="4"/>
      <c r="L491" s="4"/>
      <c r="O491" s="4"/>
      <c r="P491" s="4"/>
      <c r="Q491" s="4"/>
      <c r="R491" s="4"/>
      <c r="W491" s="4"/>
      <c r="X491" s="4"/>
      <c r="Y491" s="4"/>
      <c r="Z491" s="4"/>
    </row>
    <row r="492" spans="1:26" x14ac:dyDescent="0.2">
      <c r="A492" s="2">
        <v>105047</v>
      </c>
      <c r="B492" s="2" t="s">
        <v>618</v>
      </c>
      <c r="C492" s="2" t="s">
        <v>345</v>
      </c>
      <c r="D492" s="2" t="s">
        <v>35</v>
      </c>
      <c r="E492" s="2" t="s">
        <v>53</v>
      </c>
      <c r="G492" s="2" t="str">
        <f>IFERROR(VLOOKUP(F492,Picks!$A$2:$B$231,2,0),"")</f>
        <v/>
      </c>
      <c r="I492" s="4"/>
      <c r="J492" s="4"/>
      <c r="K492" s="4"/>
      <c r="L492" s="4"/>
      <c r="O492" s="4"/>
      <c r="P492" s="4"/>
      <c r="Q492" s="4"/>
      <c r="R492" s="4"/>
      <c r="W492" s="4"/>
      <c r="X492" s="4"/>
      <c r="Y492" s="4"/>
      <c r="Z492" s="4"/>
    </row>
    <row r="493" spans="1:26" x14ac:dyDescent="0.2">
      <c r="A493" s="2">
        <v>140492</v>
      </c>
      <c r="B493" s="2" t="s">
        <v>618</v>
      </c>
      <c r="C493" s="2" t="s">
        <v>252</v>
      </c>
      <c r="D493" s="2" t="s">
        <v>47</v>
      </c>
      <c r="E493" s="2" t="s">
        <v>53</v>
      </c>
      <c r="G493" s="2" t="str">
        <f>IFERROR(VLOOKUP(F493,Picks!$A$2:$B$231,2,0),"")</f>
        <v/>
      </c>
      <c r="I493" s="4"/>
      <c r="J493" s="4"/>
      <c r="K493" s="4"/>
      <c r="L493" s="4"/>
      <c r="O493" s="4"/>
      <c r="P493" s="4"/>
      <c r="Q493" s="4"/>
      <c r="R493" s="4"/>
      <c r="W493" s="4"/>
      <c r="X493" s="4"/>
      <c r="Y493" s="4"/>
      <c r="Z493" s="4"/>
    </row>
    <row r="494" spans="1:26" x14ac:dyDescent="0.2">
      <c r="A494" s="2">
        <v>98484</v>
      </c>
      <c r="B494" s="2" t="s">
        <v>618</v>
      </c>
      <c r="C494" s="2" t="s">
        <v>270</v>
      </c>
      <c r="D494" s="2" t="s">
        <v>45</v>
      </c>
      <c r="E494" s="2" t="s">
        <v>53</v>
      </c>
      <c r="G494" s="2" t="str">
        <f>IFERROR(VLOOKUP(F494,Picks!$A$2:$B$231,2,0),"")</f>
        <v/>
      </c>
      <c r="I494" s="4"/>
      <c r="J494" s="4"/>
      <c r="K494" s="4"/>
      <c r="L494" s="4"/>
      <c r="O494" s="4"/>
      <c r="P494" s="4"/>
      <c r="Q494" s="4"/>
      <c r="R494" s="4"/>
      <c r="W494" s="4"/>
      <c r="X494" s="4"/>
      <c r="Y494" s="4"/>
      <c r="Z494" s="4"/>
    </row>
    <row r="495" spans="1:26" x14ac:dyDescent="0.2">
      <c r="A495" s="2">
        <v>130806</v>
      </c>
      <c r="B495" s="2" t="s">
        <v>618</v>
      </c>
      <c r="C495" s="2" t="s">
        <v>544</v>
      </c>
      <c r="D495" s="2" t="s">
        <v>63</v>
      </c>
      <c r="E495" s="2" t="s">
        <v>53</v>
      </c>
      <c r="G495" s="2" t="str">
        <f>IFERROR(VLOOKUP(F495,Picks!$A$2:$B$231,2,0),"")</f>
        <v/>
      </c>
      <c r="I495" s="4"/>
      <c r="J495" s="4"/>
      <c r="K495" s="4"/>
      <c r="L495" s="4"/>
      <c r="O495" s="4"/>
      <c r="P495" s="4"/>
      <c r="Q495" s="4"/>
      <c r="R495" s="4"/>
      <c r="W495" s="4"/>
      <c r="X495" s="4"/>
      <c r="Y495" s="4"/>
      <c r="Z495" s="4"/>
    </row>
    <row r="496" spans="1:26" x14ac:dyDescent="0.2">
      <c r="A496" s="2">
        <v>85626</v>
      </c>
      <c r="B496" s="2" t="s">
        <v>618</v>
      </c>
      <c r="C496" s="2" t="s">
        <v>155</v>
      </c>
      <c r="D496" s="2" t="s">
        <v>43</v>
      </c>
      <c r="E496" s="2" t="s">
        <v>53</v>
      </c>
      <c r="G496" s="2" t="str">
        <f>IFERROR(VLOOKUP(F496,Picks!$A$2:$B$231,2,0),"")</f>
        <v/>
      </c>
      <c r="I496" s="4"/>
      <c r="J496" s="4"/>
      <c r="K496" s="4"/>
      <c r="L496" s="4"/>
      <c r="O496" s="4"/>
      <c r="P496" s="4"/>
      <c r="Q496" s="4"/>
      <c r="R496" s="4"/>
      <c r="W496" s="4"/>
      <c r="X496" s="4"/>
      <c r="Y496" s="4"/>
      <c r="Z496" s="4"/>
    </row>
    <row r="497" spans="1:26" x14ac:dyDescent="0.2">
      <c r="A497" s="2">
        <v>122755</v>
      </c>
      <c r="B497" s="2" t="s">
        <v>618</v>
      </c>
      <c r="C497" s="2" t="s">
        <v>495</v>
      </c>
      <c r="D497" s="2" t="s">
        <v>77</v>
      </c>
      <c r="E497" s="2" t="s">
        <v>53</v>
      </c>
      <c r="G497" s="2" t="str">
        <f>IFERROR(VLOOKUP(F497,Picks!$A$2:$B$231,2,0),"")</f>
        <v/>
      </c>
      <c r="I497" s="4"/>
      <c r="J497" s="4"/>
      <c r="K497" s="4"/>
      <c r="L497" s="4"/>
      <c r="O497" s="4"/>
      <c r="P497" s="4"/>
      <c r="Q497" s="4"/>
      <c r="R497" s="4"/>
      <c r="W497" s="4"/>
      <c r="X497" s="4"/>
      <c r="Y497" s="4"/>
      <c r="Z497" s="4"/>
    </row>
    <row r="498" spans="1:26" x14ac:dyDescent="0.2">
      <c r="A498" s="2">
        <v>94514</v>
      </c>
      <c r="B498" s="2" t="s">
        <v>618</v>
      </c>
      <c r="C498" s="2" t="s">
        <v>230</v>
      </c>
      <c r="D498" s="2" t="s">
        <v>41</v>
      </c>
      <c r="E498" s="2" t="s">
        <v>53</v>
      </c>
      <c r="G498" s="2" t="str">
        <f>IFERROR(VLOOKUP(F498,Picks!$A$2:$B$231,2,0),"")</f>
        <v/>
      </c>
      <c r="I498" s="4"/>
      <c r="J498" s="4"/>
      <c r="K498" s="4"/>
      <c r="L498" s="4"/>
      <c r="O498" s="4"/>
      <c r="P498" s="4"/>
      <c r="Q498" s="4"/>
      <c r="R498" s="4"/>
      <c r="W498" s="4"/>
      <c r="X498" s="4"/>
      <c r="Y498" s="4"/>
      <c r="Z498" s="4"/>
    </row>
    <row r="499" spans="1:26" x14ac:dyDescent="0.2">
      <c r="A499" s="2">
        <v>128429</v>
      </c>
      <c r="B499" s="2" t="s">
        <v>618</v>
      </c>
      <c r="C499" s="2" t="s">
        <v>529</v>
      </c>
      <c r="D499" s="2" t="s">
        <v>43</v>
      </c>
      <c r="E499" s="2" t="s">
        <v>53</v>
      </c>
      <c r="G499" s="2" t="str">
        <f>IFERROR(VLOOKUP(F499,Picks!$A$2:$B$231,2,0),"")</f>
        <v/>
      </c>
      <c r="I499" s="4"/>
      <c r="J499" s="4"/>
      <c r="K499" s="4"/>
      <c r="L499" s="4"/>
      <c r="O499" s="4"/>
      <c r="P499" s="4"/>
      <c r="Q499" s="4"/>
      <c r="R499" s="4"/>
      <c r="W499" s="4"/>
      <c r="X499" s="4"/>
      <c r="Y499" s="4"/>
      <c r="Z499" s="4"/>
    </row>
    <row r="500" spans="1:26" x14ac:dyDescent="0.2">
      <c r="A500" s="2">
        <v>83786</v>
      </c>
      <c r="B500" s="2" t="s">
        <v>618</v>
      </c>
      <c r="C500" s="2" t="s">
        <v>139</v>
      </c>
      <c r="D500" s="2" t="s">
        <v>33</v>
      </c>
      <c r="E500" s="2" t="s">
        <v>53</v>
      </c>
      <c r="G500" s="2" t="str">
        <f>IFERROR(VLOOKUP(F500,Picks!$A$2:$B$231,2,0),"")</f>
        <v/>
      </c>
      <c r="I500" s="4"/>
      <c r="J500" s="4"/>
      <c r="K500" s="4"/>
      <c r="L500" s="4"/>
      <c r="O500" s="4"/>
      <c r="P500" s="4"/>
      <c r="Q500" s="4"/>
      <c r="R500" s="4"/>
      <c r="W500" s="4"/>
      <c r="X500" s="4"/>
      <c r="Y500" s="4"/>
      <c r="Z500" s="4"/>
    </row>
    <row r="501" spans="1:26" x14ac:dyDescent="0.2">
      <c r="A501" s="2">
        <v>138021</v>
      </c>
      <c r="B501" s="2" t="s">
        <v>618</v>
      </c>
      <c r="C501" s="2" t="s">
        <v>571</v>
      </c>
      <c r="D501" s="2" t="s">
        <v>77</v>
      </c>
      <c r="E501" s="2" t="s">
        <v>53</v>
      </c>
      <c r="G501" s="2" t="str">
        <f>IFERROR(VLOOKUP(F501,Picks!$A$2:$B$231,2,0),"")</f>
        <v/>
      </c>
      <c r="I501" s="4"/>
      <c r="J501" s="4"/>
      <c r="K501" s="4"/>
      <c r="L501" s="4"/>
      <c r="O501" s="4"/>
      <c r="P501" s="4"/>
      <c r="Q501" s="4"/>
      <c r="R501" s="4"/>
      <c r="W501" s="4"/>
      <c r="X501" s="4"/>
      <c r="Y501" s="4"/>
      <c r="Z501" s="4"/>
    </row>
    <row r="502" spans="1:26" x14ac:dyDescent="0.2">
      <c r="A502" s="2">
        <v>92237</v>
      </c>
      <c r="B502" s="2" t="s">
        <v>618</v>
      </c>
      <c r="C502" s="2" t="s">
        <v>214</v>
      </c>
      <c r="D502" s="2" t="s">
        <v>31</v>
      </c>
      <c r="E502" s="2" t="s">
        <v>53</v>
      </c>
      <c r="G502" s="2" t="str">
        <f>IFERROR(VLOOKUP(F502,Picks!$A$2:$B$231,2,0),"")</f>
        <v/>
      </c>
      <c r="I502" s="4"/>
      <c r="J502" s="4"/>
      <c r="K502" s="4"/>
      <c r="L502" s="4"/>
      <c r="O502" s="4"/>
      <c r="P502" s="4"/>
      <c r="Q502" s="4"/>
      <c r="R502" s="4"/>
      <c r="W502" s="4"/>
      <c r="X502" s="4"/>
      <c r="Y502" s="4"/>
      <c r="Z502" s="4"/>
    </row>
    <row r="503" spans="1:26" x14ac:dyDescent="0.2">
      <c r="A503" s="2">
        <v>63354</v>
      </c>
      <c r="B503" s="2" t="s">
        <v>618</v>
      </c>
      <c r="C503" s="2" t="s">
        <v>56</v>
      </c>
      <c r="D503" s="2" t="s">
        <v>39</v>
      </c>
      <c r="E503" s="2" t="s">
        <v>53</v>
      </c>
      <c r="G503" s="2" t="str">
        <f>IFERROR(VLOOKUP(F503,Picks!$A$2:$B$231,2,0),"")</f>
        <v/>
      </c>
      <c r="I503" s="4"/>
      <c r="J503" s="4"/>
      <c r="K503" s="4"/>
      <c r="L503" s="4"/>
      <c r="O503" s="4"/>
      <c r="P503" s="4"/>
      <c r="Q503" s="4"/>
      <c r="R503" s="4"/>
      <c r="W503" s="4"/>
      <c r="X503" s="4"/>
      <c r="Y503" s="4"/>
      <c r="Z503" s="4"/>
    </row>
    <row r="504" spans="1:26" x14ac:dyDescent="0.2">
      <c r="A504" s="2">
        <v>118655</v>
      </c>
      <c r="B504" s="2" t="s">
        <v>618</v>
      </c>
      <c r="C504" s="2" t="s">
        <v>474</v>
      </c>
      <c r="D504" s="2" t="s">
        <v>67</v>
      </c>
      <c r="E504" s="2" t="s">
        <v>53</v>
      </c>
      <c r="G504" s="2" t="str">
        <f>IFERROR(VLOOKUP(F504,Picks!$A$2:$B$231,2,0),"")</f>
        <v/>
      </c>
      <c r="I504" s="4"/>
      <c r="J504" s="4"/>
      <c r="K504" s="4"/>
      <c r="L504" s="4"/>
      <c r="O504" s="4"/>
      <c r="P504" s="4"/>
      <c r="Q504" s="4"/>
      <c r="R504" s="4"/>
      <c r="W504" s="4"/>
      <c r="X504" s="4"/>
      <c r="Y504" s="4"/>
      <c r="Z504" s="4"/>
    </row>
    <row r="505" spans="1:26" x14ac:dyDescent="0.2">
      <c r="A505" s="2">
        <v>78855</v>
      </c>
      <c r="B505" s="2" t="s">
        <v>618</v>
      </c>
      <c r="C505" s="2" t="s">
        <v>110</v>
      </c>
      <c r="D505" s="2" t="s">
        <v>39</v>
      </c>
      <c r="E505" s="2" t="s">
        <v>53</v>
      </c>
      <c r="G505" s="2" t="str">
        <f>IFERROR(VLOOKUP(F505,Picks!$A$2:$B$231,2,0),"")</f>
        <v/>
      </c>
      <c r="I505" s="4"/>
      <c r="J505" s="4"/>
      <c r="K505" s="4"/>
      <c r="L505" s="4"/>
      <c r="O505" s="4"/>
      <c r="P505" s="4"/>
      <c r="Q505" s="4"/>
      <c r="R505" s="4"/>
      <c r="W505" s="4"/>
      <c r="X505" s="4"/>
      <c r="Y505" s="4"/>
      <c r="Z505" s="4"/>
    </row>
    <row r="506" spans="1:26" x14ac:dyDescent="0.2">
      <c r="A506" s="2">
        <v>125467</v>
      </c>
      <c r="B506" s="2" t="s">
        <v>618</v>
      </c>
      <c r="C506" s="2" t="s">
        <v>519</v>
      </c>
      <c r="D506" s="2" t="s">
        <v>31</v>
      </c>
      <c r="E506" s="2" t="s">
        <v>53</v>
      </c>
      <c r="G506" s="2" t="str">
        <f>IFERROR(VLOOKUP(F506,Picks!$A$2:$B$231,2,0),"")</f>
        <v/>
      </c>
      <c r="I506" s="4"/>
      <c r="J506" s="4"/>
      <c r="K506" s="4"/>
      <c r="L506" s="4"/>
      <c r="O506" s="4"/>
      <c r="P506" s="4"/>
      <c r="Q506" s="4"/>
      <c r="R506" s="4"/>
      <c r="W506" s="4"/>
      <c r="X506" s="4"/>
      <c r="Y506" s="4"/>
      <c r="Z506" s="4"/>
    </row>
    <row r="507" spans="1:26" x14ac:dyDescent="0.2">
      <c r="A507" s="2">
        <v>126013</v>
      </c>
      <c r="B507" s="2" t="s">
        <v>618</v>
      </c>
      <c r="C507" s="2" t="s">
        <v>523</v>
      </c>
      <c r="D507" s="2" t="s">
        <v>61</v>
      </c>
      <c r="E507" s="2" t="s">
        <v>53</v>
      </c>
      <c r="G507" s="2" t="str">
        <f>IFERROR(VLOOKUP(F507,Picks!$A$2:$B$231,2,0),"")</f>
        <v/>
      </c>
      <c r="I507" s="4"/>
      <c r="J507" s="4"/>
      <c r="K507" s="4"/>
      <c r="L507" s="4"/>
      <c r="O507" s="4"/>
      <c r="P507" s="4"/>
      <c r="Q507" s="4"/>
      <c r="R507" s="4"/>
      <c r="W507" s="4"/>
      <c r="X507" s="4"/>
      <c r="Y507" s="4"/>
      <c r="Z507" s="4"/>
    </row>
    <row r="508" spans="1:26" x14ac:dyDescent="0.2">
      <c r="A508" s="2">
        <v>122316</v>
      </c>
      <c r="B508" s="2" t="s">
        <v>618</v>
      </c>
      <c r="C508" s="2" t="s">
        <v>483</v>
      </c>
      <c r="D508" s="2" t="s">
        <v>43</v>
      </c>
      <c r="E508" s="2" t="s">
        <v>37</v>
      </c>
      <c r="G508" s="2" t="str">
        <f>IFERROR(VLOOKUP(F508,Picks!$A$2:$B$231,2,0),"")</f>
        <v/>
      </c>
      <c r="I508" s="4"/>
      <c r="J508" s="4"/>
      <c r="K508" s="4"/>
      <c r="L508" s="4"/>
      <c r="O508" s="4"/>
      <c r="P508" s="4"/>
      <c r="Q508" s="4"/>
      <c r="R508" s="4"/>
      <c r="W508" s="4"/>
      <c r="X508" s="4"/>
      <c r="Y508" s="4"/>
      <c r="Z508" s="4"/>
    </row>
    <row r="509" spans="1:26" x14ac:dyDescent="0.2">
      <c r="A509" s="2">
        <v>145400</v>
      </c>
      <c r="B509" s="2" t="s">
        <v>618</v>
      </c>
      <c r="C509" s="2" t="s">
        <v>604</v>
      </c>
      <c r="D509" s="2" t="s">
        <v>77</v>
      </c>
      <c r="E509" s="2" t="s">
        <v>37</v>
      </c>
      <c r="G509" s="2" t="str">
        <f>IFERROR(VLOOKUP(F509,Picks!$A$2:$B$231,2,0),"")</f>
        <v/>
      </c>
      <c r="I509" s="4"/>
      <c r="J509" s="4"/>
      <c r="K509" s="4"/>
      <c r="L509" s="4"/>
      <c r="O509" s="4"/>
      <c r="P509" s="4"/>
      <c r="Q509" s="4"/>
      <c r="R509" s="4"/>
      <c r="W509" s="4"/>
      <c r="X509" s="4"/>
      <c r="Y509" s="4"/>
      <c r="Z509" s="4"/>
    </row>
    <row r="510" spans="1:26" x14ac:dyDescent="0.2">
      <c r="A510" s="2">
        <v>122320</v>
      </c>
      <c r="B510" s="2" t="s">
        <v>618</v>
      </c>
      <c r="C510" s="2" t="s">
        <v>485</v>
      </c>
      <c r="D510" s="2" t="s">
        <v>47</v>
      </c>
      <c r="E510" s="2" t="s">
        <v>37</v>
      </c>
      <c r="G510" s="2" t="str">
        <f>IFERROR(VLOOKUP(F510,Picks!$A$2:$B$231,2,0),"")</f>
        <v/>
      </c>
      <c r="I510" s="4"/>
      <c r="J510" s="4"/>
      <c r="K510" s="4"/>
      <c r="L510" s="4"/>
      <c r="O510" s="4"/>
      <c r="P510" s="4"/>
      <c r="Q510" s="4"/>
      <c r="R510" s="4"/>
      <c r="W510" s="4"/>
      <c r="X510" s="4"/>
      <c r="Y510" s="4"/>
      <c r="Z510" s="4"/>
    </row>
    <row r="511" spans="1:26" x14ac:dyDescent="0.2">
      <c r="A511" s="2">
        <v>133460</v>
      </c>
      <c r="B511" s="2" t="s">
        <v>618</v>
      </c>
      <c r="C511" s="2" t="s">
        <v>561</v>
      </c>
      <c r="D511" s="2" t="s">
        <v>39</v>
      </c>
      <c r="E511" s="2" t="s">
        <v>37</v>
      </c>
      <c r="G511" s="2" t="str">
        <f>IFERROR(VLOOKUP(F511,Picks!$A$2:$B$231,2,0),"")</f>
        <v/>
      </c>
      <c r="I511" s="4"/>
      <c r="J511" s="4"/>
      <c r="K511" s="4"/>
      <c r="L511" s="4"/>
      <c r="O511" s="4"/>
      <c r="P511" s="4"/>
      <c r="Q511" s="4"/>
      <c r="R511" s="4"/>
      <c r="W511" s="4"/>
      <c r="X511" s="4"/>
      <c r="Y511" s="4"/>
      <c r="Z511" s="4"/>
    </row>
    <row r="512" spans="1:26" x14ac:dyDescent="0.2">
      <c r="A512" s="2">
        <v>101708</v>
      </c>
      <c r="B512" s="2" t="s">
        <v>618</v>
      </c>
      <c r="C512" s="2" t="s">
        <v>305</v>
      </c>
      <c r="D512" s="2" t="s">
        <v>41</v>
      </c>
      <c r="E512" s="2" t="s">
        <v>37</v>
      </c>
      <c r="G512" s="2" t="str">
        <f>IFERROR(VLOOKUP(F512,Picks!$A$2:$B$231,2,0),"")</f>
        <v/>
      </c>
      <c r="I512" s="4"/>
      <c r="J512" s="4"/>
      <c r="K512" s="4"/>
      <c r="L512" s="4"/>
      <c r="O512" s="4"/>
      <c r="P512" s="4"/>
      <c r="Q512" s="4"/>
      <c r="R512" s="4"/>
      <c r="W512" s="4"/>
      <c r="X512" s="4"/>
      <c r="Y512" s="4"/>
      <c r="Z512" s="4"/>
    </row>
    <row r="513" spans="1:26" x14ac:dyDescent="0.2">
      <c r="A513" s="2">
        <v>143072</v>
      </c>
      <c r="B513" s="2" t="s">
        <v>618</v>
      </c>
      <c r="C513" s="2" t="s">
        <v>593</v>
      </c>
      <c r="D513" s="2" t="s">
        <v>61</v>
      </c>
      <c r="E513" s="2" t="s">
        <v>37</v>
      </c>
      <c r="G513" s="2" t="str">
        <f>IFERROR(VLOOKUP(F513,Picks!$A$2:$B$231,2,0),"")</f>
        <v/>
      </c>
      <c r="I513" s="4"/>
      <c r="J513" s="4"/>
      <c r="K513" s="4"/>
      <c r="L513" s="4"/>
      <c r="O513" s="4"/>
      <c r="P513" s="4"/>
      <c r="Q513" s="4"/>
      <c r="R513" s="4"/>
      <c r="W513" s="4"/>
      <c r="X513" s="4"/>
      <c r="Y513" s="4"/>
      <c r="Z513" s="4"/>
    </row>
    <row r="514" spans="1:26" x14ac:dyDescent="0.2">
      <c r="A514" s="2">
        <v>103672</v>
      </c>
      <c r="B514" s="2" t="s">
        <v>618</v>
      </c>
      <c r="C514" s="2" t="s">
        <v>328</v>
      </c>
      <c r="D514" s="2" t="s">
        <v>23</v>
      </c>
      <c r="E514" s="2" t="s">
        <v>37</v>
      </c>
      <c r="G514" s="2" t="str">
        <f>IFERROR(VLOOKUP(F514,Picks!$A$2:$B$231,2,0),"")</f>
        <v/>
      </c>
      <c r="I514" s="4"/>
      <c r="J514" s="4"/>
      <c r="K514" s="4"/>
      <c r="L514" s="4"/>
      <c r="O514" s="4"/>
      <c r="P514" s="4"/>
      <c r="Q514" s="4"/>
      <c r="R514" s="4"/>
      <c r="W514" s="4"/>
      <c r="X514" s="4"/>
      <c r="Y514" s="4"/>
      <c r="Z514" s="4"/>
    </row>
    <row r="515" spans="1:26" x14ac:dyDescent="0.2">
      <c r="A515" s="2">
        <v>121870</v>
      </c>
      <c r="B515" s="2" t="s">
        <v>618</v>
      </c>
      <c r="C515" s="2" t="s">
        <v>481</v>
      </c>
      <c r="D515" s="2" t="s">
        <v>63</v>
      </c>
      <c r="E515" s="2" t="s">
        <v>37</v>
      </c>
      <c r="G515" s="2" t="str">
        <f>IFERROR(VLOOKUP(F515,Picks!$A$2:$B$231,2,0),"")</f>
        <v/>
      </c>
      <c r="I515" s="4"/>
      <c r="J515" s="4"/>
      <c r="K515" s="4"/>
      <c r="L515" s="4"/>
      <c r="O515" s="4"/>
      <c r="P515" s="4"/>
      <c r="Q515" s="4"/>
      <c r="R515" s="4"/>
      <c r="W515" s="4"/>
      <c r="X515" s="4"/>
      <c r="Y515" s="4"/>
      <c r="Z515" s="4"/>
    </row>
    <row r="516" spans="1:26" x14ac:dyDescent="0.2">
      <c r="A516" s="2">
        <v>107908</v>
      </c>
      <c r="B516" s="2" t="s">
        <v>618</v>
      </c>
      <c r="C516" s="2" t="s">
        <v>386</v>
      </c>
      <c r="D516" s="2" t="s">
        <v>99</v>
      </c>
      <c r="E516" s="2" t="s">
        <v>37</v>
      </c>
      <c r="G516" s="2" t="str">
        <f>IFERROR(VLOOKUP(F516,Picks!$A$2:$B$231,2,0),"")</f>
        <v/>
      </c>
      <c r="I516" s="4"/>
      <c r="J516" s="4"/>
      <c r="K516" s="4"/>
      <c r="L516" s="4"/>
      <c r="O516" s="4"/>
      <c r="P516" s="4"/>
      <c r="Q516" s="4"/>
      <c r="R516" s="4"/>
      <c r="W516" s="4"/>
      <c r="X516" s="4"/>
      <c r="Y516" s="4"/>
      <c r="Z516" s="4"/>
    </row>
    <row r="517" spans="1:26" x14ac:dyDescent="0.2">
      <c r="A517" s="2">
        <v>124358</v>
      </c>
      <c r="B517" s="2" t="s">
        <v>618</v>
      </c>
      <c r="C517" s="2" t="s">
        <v>511</v>
      </c>
      <c r="D517" s="2" t="s">
        <v>39</v>
      </c>
      <c r="E517" s="2" t="s">
        <v>37</v>
      </c>
      <c r="G517" s="2" t="str">
        <f>IFERROR(VLOOKUP(F517,Picks!$A$2:$B$231,2,0),"")</f>
        <v/>
      </c>
      <c r="I517" s="4"/>
      <c r="J517" s="4"/>
      <c r="K517" s="4"/>
      <c r="L517" s="4"/>
      <c r="O517" s="4"/>
      <c r="P517" s="4"/>
      <c r="Q517" s="4"/>
      <c r="R517" s="4"/>
      <c r="W517" s="4"/>
      <c r="X517" s="4"/>
      <c r="Y517" s="4"/>
      <c r="Z517" s="4"/>
    </row>
    <row r="518" spans="1:26" x14ac:dyDescent="0.2">
      <c r="A518" s="2">
        <v>88065</v>
      </c>
      <c r="B518" s="2" t="s">
        <v>618</v>
      </c>
      <c r="C518" s="2" t="s">
        <v>173</v>
      </c>
      <c r="D518" s="2" t="s">
        <v>118</v>
      </c>
      <c r="E518" s="2" t="s">
        <v>37</v>
      </c>
      <c r="G518" s="2" t="str">
        <f>IFERROR(VLOOKUP(F518,Picks!$A$2:$B$231,2,0),"")</f>
        <v/>
      </c>
      <c r="I518" s="4"/>
      <c r="J518" s="4"/>
      <c r="K518" s="4"/>
      <c r="L518" s="4"/>
      <c r="O518" s="4"/>
      <c r="P518" s="4"/>
      <c r="Q518" s="4"/>
      <c r="R518" s="4"/>
      <c r="W518" s="4"/>
      <c r="X518" s="4"/>
      <c r="Y518" s="4"/>
      <c r="Z518" s="4"/>
    </row>
    <row r="519" spans="1:26" x14ac:dyDescent="0.2">
      <c r="A519" s="2">
        <v>131516</v>
      </c>
      <c r="B519" s="2" t="s">
        <v>618</v>
      </c>
      <c r="C519" s="2" t="s">
        <v>550</v>
      </c>
      <c r="D519" s="2" t="s">
        <v>50</v>
      </c>
      <c r="E519" s="2" t="s">
        <v>37</v>
      </c>
      <c r="G519" s="2" t="str">
        <f>IFERROR(VLOOKUP(F519,Picks!$A$2:$B$231,2,0),"")</f>
        <v/>
      </c>
      <c r="I519" s="4"/>
      <c r="J519" s="4"/>
      <c r="K519" s="4"/>
      <c r="L519" s="4"/>
      <c r="O519" s="4"/>
      <c r="P519" s="4"/>
      <c r="Q519" s="4"/>
      <c r="R519" s="4"/>
      <c r="W519" s="4"/>
      <c r="X519" s="4"/>
      <c r="Y519" s="4"/>
      <c r="Z519" s="4"/>
    </row>
    <row r="520" spans="1:26" x14ac:dyDescent="0.2">
      <c r="A520" s="2">
        <v>127932</v>
      </c>
      <c r="B520" s="2" t="s">
        <v>618</v>
      </c>
      <c r="C520" s="2" t="s">
        <v>526</v>
      </c>
      <c r="D520" s="2" t="s">
        <v>23</v>
      </c>
      <c r="E520" s="2" t="s">
        <v>37</v>
      </c>
      <c r="G520" s="2" t="str">
        <f>IFERROR(VLOOKUP(F520,Picks!$A$2:$B$231,2,0),"")</f>
        <v/>
      </c>
      <c r="I520" s="4"/>
      <c r="J520" s="4"/>
      <c r="K520" s="4"/>
      <c r="L520" s="4"/>
      <c r="O520" s="4"/>
      <c r="P520" s="4"/>
      <c r="Q520" s="4"/>
      <c r="R520" s="4"/>
      <c r="W520" s="4"/>
      <c r="X520" s="4"/>
      <c r="Y520" s="4"/>
      <c r="Z520" s="4"/>
    </row>
    <row r="521" spans="1:26" x14ac:dyDescent="0.2">
      <c r="A521" s="2">
        <v>100846</v>
      </c>
      <c r="B521" s="2" t="s">
        <v>618</v>
      </c>
      <c r="C521" s="2" t="s">
        <v>290</v>
      </c>
      <c r="D521" s="2" t="s">
        <v>31</v>
      </c>
      <c r="E521" s="2" t="s">
        <v>37</v>
      </c>
      <c r="G521" s="2" t="str">
        <f>IFERROR(VLOOKUP(F521,Picks!$A$2:$B$231,2,0),"")</f>
        <v/>
      </c>
      <c r="I521" s="4"/>
      <c r="J521" s="4"/>
      <c r="K521" s="4"/>
      <c r="L521" s="4"/>
      <c r="O521" s="4"/>
      <c r="P521" s="4"/>
      <c r="Q521" s="4"/>
      <c r="R521" s="4"/>
      <c r="W521" s="4"/>
      <c r="X521" s="4"/>
      <c r="Y521" s="4"/>
      <c r="Z521" s="4"/>
    </row>
    <row r="522" spans="1:26" x14ac:dyDescent="0.2">
      <c r="A522" s="2">
        <v>141337</v>
      </c>
      <c r="B522" s="2" t="s">
        <v>618</v>
      </c>
      <c r="C522" s="2" t="s">
        <v>577</v>
      </c>
      <c r="D522" s="2" t="s">
        <v>39</v>
      </c>
      <c r="E522" s="2" t="s">
        <v>37</v>
      </c>
      <c r="G522" s="2" t="str">
        <f>IFERROR(VLOOKUP(F522,Picks!$A$2:$B$231,2,0),"")</f>
        <v/>
      </c>
      <c r="I522" s="4"/>
      <c r="J522" s="4"/>
      <c r="K522" s="4"/>
      <c r="L522" s="4"/>
      <c r="O522" s="4"/>
      <c r="P522" s="4"/>
      <c r="Q522" s="4"/>
      <c r="R522" s="4"/>
      <c r="W522" s="4"/>
      <c r="X522" s="4"/>
      <c r="Y522" s="4"/>
      <c r="Z522" s="4"/>
    </row>
    <row r="523" spans="1:26" x14ac:dyDescent="0.2">
      <c r="A523" s="2">
        <v>78077</v>
      </c>
      <c r="B523" s="2" t="s">
        <v>618</v>
      </c>
      <c r="C523" s="2" t="s">
        <v>102</v>
      </c>
      <c r="D523" s="2" t="s">
        <v>43</v>
      </c>
      <c r="E523" s="2" t="s">
        <v>37</v>
      </c>
      <c r="G523" s="2" t="str">
        <f>IFERROR(VLOOKUP(F523,Picks!$A$2:$B$231,2,0),"")</f>
        <v/>
      </c>
      <c r="I523" s="4"/>
      <c r="J523" s="4"/>
      <c r="K523" s="4"/>
      <c r="L523" s="4"/>
      <c r="O523" s="4"/>
      <c r="P523" s="4"/>
      <c r="Q523" s="4"/>
      <c r="R523" s="4"/>
      <c r="W523" s="4"/>
      <c r="X523" s="4"/>
      <c r="Y523" s="4"/>
      <c r="Z523" s="4"/>
    </row>
    <row r="524" spans="1:26" x14ac:dyDescent="0.2">
      <c r="A524" s="2">
        <v>111279</v>
      </c>
      <c r="B524" s="2" t="s">
        <v>618</v>
      </c>
      <c r="C524" s="2" t="s">
        <v>416</v>
      </c>
      <c r="D524" s="2" t="s">
        <v>63</v>
      </c>
      <c r="E524" s="2" t="s">
        <v>37</v>
      </c>
      <c r="G524" s="2" t="str">
        <f>IFERROR(VLOOKUP(F524,Picks!$A$2:$B$231,2,0),"")</f>
        <v/>
      </c>
      <c r="I524" s="4"/>
      <c r="J524" s="4"/>
      <c r="K524" s="4"/>
      <c r="L524" s="4"/>
      <c r="O524" s="4"/>
      <c r="P524" s="4"/>
      <c r="Q524" s="4"/>
      <c r="R524" s="4"/>
      <c r="W524" s="4"/>
      <c r="X524" s="4"/>
      <c r="Y524" s="4"/>
      <c r="Z524" s="4"/>
    </row>
    <row r="525" spans="1:26" x14ac:dyDescent="0.2">
      <c r="A525" s="2">
        <v>97795</v>
      </c>
      <c r="B525" s="2" t="s">
        <v>618</v>
      </c>
      <c r="C525" s="2" t="s">
        <v>259</v>
      </c>
      <c r="D525" s="2" t="s">
        <v>118</v>
      </c>
      <c r="E525" s="2" t="s">
        <v>37</v>
      </c>
      <c r="G525" s="2" t="str">
        <f>IFERROR(VLOOKUP(F525,Picks!$A$2:$B$231,2,0),"")</f>
        <v/>
      </c>
      <c r="I525" s="4"/>
      <c r="J525" s="4"/>
      <c r="K525" s="4"/>
      <c r="L525" s="4"/>
      <c r="O525" s="4"/>
      <c r="P525" s="4"/>
      <c r="Q525" s="4"/>
      <c r="R525" s="4"/>
      <c r="W525" s="4"/>
      <c r="X525" s="4"/>
      <c r="Y525" s="4"/>
      <c r="Z525" s="4"/>
    </row>
    <row r="526" spans="1:26" x14ac:dyDescent="0.2">
      <c r="A526" s="2">
        <v>144423</v>
      </c>
      <c r="B526" s="2" t="s">
        <v>618</v>
      </c>
      <c r="C526" s="2" t="s">
        <v>600</v>
      </c>
      <c r="D526" s="2" t="s">
        <v>35</v>
      </c>
      <c r="E526" s="2" t="s">
        <v>37</v>
      </c>
      <c r="G526" s="2" t="str">
        <f>IFERROR(VLOOKUP(F526,Picks!$A$2:$B$231,2,0),"")</f>
        <v/>
      </c>
      <c r="I526" s="4"/>
      <c r="J526" s="4"/>
      <c r="K526" s="4"/>
      <c r="L526" s="4"/>
      <c r="O526" s="4"/>
      <c r="P526" s="4"/>
      <c r="Q526" s="4"/>
      <c r="R526" s="4"/>
      <c r="W526" s="4"/>
      <c r="X526" s="4"/>
      <c r="Y526" s="4"/>
      <c r="Z526" s="4"/>
    </row>
    <row r="527" spans="1:26" x14ac:dyDescent="0.2">
      <c r="A527" s="2">
        <v>145510</v>
      </c>
      <c r="B527" s="2" t="s">
        <v>618</v>
      </c>
      <c r="C527" s="2" t="s">
        <v>605</v>
      </c>
      <c r="D527" s="2" t="s">
        <v>33</v>
      </c>
      <c r="E527" s="2" t="s">
        <v>37</v>
      </c>
      <c r="G527" s="2" t="str">
        <f>IFERROR(VLOOKUP(F527,Picks!$A$2:$B$231,2,0),"")</f>
        <v/>
      </c>
      <c r="I527" s="4"/>
      <c r="J527" s="4"/>
      <c r="K527" s="4"/>
      <c r="L527" s="4"/>
      <c r="O527" s="4"/>
      <c r="P527" s="4"/>
      <c r="Q527" s="4"/>
      <c r="R527" s="4"/>
      <c r="W527" s="4"/>
      <c r="X527" s="4"/>
      <c r="Y527" s="4"/>
      <c r="Z527" s="4"/>
    </row>
    <row r="528" spans="1:26" x14ac:dyDescent="0.2">
      <c r="A528" s="2">
        <v>132412</v>
      </c>
      <c r="B528" s="2" t="s">
        <v>618</v>
      </c>
      <c r="C528" s="2" t="s">
        <v>558</v>
      </c>
      <c r="D528" s="2" t="s">
        <v>45</v>
      </c>
      <c r="E528" s="2" t="s">
        <v>37</v>
      </c>
      <c r="G528" s="2" t="str">
        <f>IFERROR(VLOOKUP(F528,Picks!$A$2:$B$231,2,0),"")</f>
        <v/>
      </c>
      <c r="I528" s="4"/>
      <c r="J528" s="4"/>
      <c r="K528" s="4"/>
      <c r="L528" s="4"/>
      <c r="O528" s="4"/>
      <c r="P528" s="4"/>
      <c r="Q528" s="4"/>
      <c r="R528" s="4"/>
      <c r="W528" s="4"/>
      <c r="X528" s="4"/>
      <c r="Y528" s="4"/>
      <c r="Z528" s="4"/>
    </row>
    <row r="529" spans="1:26" x14ac:dyDescent="0.2">
      <c r="A529" s="2">
        <v>105213</v>
      </c>
      <c r="B529" s="2" t="s">
        <v>618</v>
      </c>
      <c r="C529" s="2" t="s">
        <v>349</v>
      </c>
      <c r="D529" s="2" t="s">
        <v>77</v>
      </c>
      <c r="E529" s="2" t="s">
        <v>37</v>
      </c>
      <c r="G529" s="2" t="str">
        <f>IFERROR(VLOOKUP(F529,Picks!$A$2:$B$231,2,0),"")</f>
        <v/>
      </c>
      <c r="I529" s="4"/>
      <c r="J529" s="4"/>
      <c r="K529" s="4"/>
      <c r="L529" s="4"/>
      <c r="O529" s="4"/>
      <c r="P529" s="4"/>
      <c r="Q529" s="4"/>
      <c r="R529" s="4"/>
      <c r="W529" s="4"/>
      <c r="X529" s="4"/>
      <c r="Y529" s="4"/>
      <c r="Z529" s="4"/>
    </row>
    <row r="530" spans="1:26" x14ac:dyDescent="0.2">
      <c r="A530" s="2">
        <v>86410</v>
      </c>
      <c r="B530" s="2" t="s">
        <v>618</v>
      </c>
      <c r="C530" s="2" t="s">
        <v>157</v>
      </c>
      <c r="D530" s="2" t="s">
        <v>67</v>
      </c>
      <c r="E530" s="2" t="s">
        <v>37</v>
      </c>
      <c r="G530" s="2" t="str">
        <f>IFERROR(VLOOKUP(F530,Picks!$A$2:$B$231,2,0),"")</f>
        <v/>
      </c>
      <c r="I530" s="4"/>
      <c r="J530" s="4"/>
      <c r="K530" s="4"/>
      <c r="L530" s="4"/>
      <c r="O530" s="4"/>
      <c r="P530" s="4"/>
      <c r="Q530" s="4"/>
      <c r="R530" s="4"/>
      <c r="W530" s="4"/>
      <c r="X530" s="4"/>
      <c r="Y530" s="4"/>
      <c r="Z530" s="4"/>
    </row>
    <row r="531" spans="1:26" x14ac:dyDescent="0.2">
      <c r="A531" s="2">
        <v>147297</v>
      </c>
      <c r="B531" s="2" t="s">
        <v>618</v>
      </c>
      <c r="C531" s="2" t="s">
        <v>615</v>
      </c>
      <c r="D531" s="2" t="s">
        <v>35</v>
      </c>
      <c r="E531" s="2" t="s">
        <v>37</v>
      </c>
      <c r="G531" s="2" t="str">
        <f>IFERROR(VLOOKUP(F531,Picks!$A$2:$B$231,2,0),"")</f>
        <v/>
      </c>
      <c r="I531" s="4"/>
      <c r="J531" s="4"/>
      <c r="K531" s="4"/>
      <c r="L531" s="4"/>
      <c r="O531" s="4"/>
      <c r="P531" s="4"/>
      <c r="Q531" s="4"/>
      <c r="R531" s="4"/>
      <c r="W531" s="4"/>
      <c r="X531" s="4"/>
      <c r="Y531" s="4"/>
      <c r="Z531" s="4"/>
    </row>
    <row r="532" spans="1:26" x14ac:dyDescent="0.2">
      <c r="A532" s="2">
        <v>123717</v>
      </c>
      <c r="B532" s="2" t="s">
        <v>618</v>
      </c>
      <c r="C532" s="2" t="s">
        <v>506</v>
      </c>
      <c r="D532" s="2" t="s">
        <v>45</v>
      </c>
      <c r="E532" s="2" t="s">
        <v>37</v>
      </c>
      <c r="G532" s="2" t="str">
        <f>IFERROR(VLOOKUP(F532,Picks!$A$2:$B$231,2,0),"")</f>
        <v/>
      </c>
      <c r="I532" s="4"/>
      <c r="J532" s="4"/>
      <c r="K532" s="4"/>
      <c r="L532" s="4"/>
      <c r="O532" s="4"/>
      <c r="P532" s="4"/>
      <c r="Q532" s="4"/>
      <c r="R532" s="4"/>
      <c r="W532" s="4"/>
      <c r="X532" s="4"/>
      <c r="Y532" s="4"/>
      <c r="Z532" s="4"/>
    </row>
    <row r="533" spans="1:26" x14ac:dyDescent="0.2">
      <c r="A533" s="2">
        <v>79066</v>
      </c>
      <c r="B533" s="2" t="s">
        <v>618</v>
      </c>
      <c r="C533" s="2" t="s">
        <v>112</v>
      </c>
      <c r="D533" s="2" t="s">
        <v>41</v>
      </c>
      <c r="E533" s="2" t="s">
        <v>24</v>
      </c>
      <c r="G533" s="2" t="str">
        <f>IFERROR(VLOOKUP(F533,Picks!$A$2:$B$231,2,0),"")</f>
        <v/>
      </c>
      <c r="I533" s="4"/>
      <c r="J533" s="4"/>
      <c r="K533" s="4"/>
      <c r="L533" s="4"/>
      <c r="O533" s="4"/>
      <c r="P533" s="4"/>
      <c r="Q533" s="4"/>
      <c r="R533" s="4"/>
      <c r="W533" s="4"/>
      <c r="X533" s="4"/>
      <c r="Y533" s="4"/>
      <c r="Z533" s="4"/>
    </row>
    <row r="534" spans="1:26" x14ac:dyDescent="0.2">
      <c r="A534" s="2">
        <v>102906</v>
      </c>
      <c r="B534" s="2" t="s">
        <v>618</v>
      </c>
      <c r="C534" s="2" t="s">
        <v>317</v>
      </c>
      <c r="D534" s="2" t="s">
        <v>63</v>
      </c>
      <c r="E534" s="2" t="s">
        <v>24</v>
      </c>
      <c r="G534" s="2" t="str">
        <f>IFERROR(VLOOKUP(F534,Picks!$A$2:$B$231,2,0),"")</f>
        <v/>
      </c>
      <c r="I534" s="4"/>
      <c r="J534" s="4"/>
      <c r="K534" s="4"/>
      <c r="L534" s="4"/>
      <c r="O534" s="4"/>
      <c r="P534" s="4"/>
      <c r="Q534" s="4"/>
      <c r="R534" s="4"/>
      <c r="W534" s="4"/>
      <c r="X534" s="4"/>
      <c r="Y534" s="4"/>
      <c r="Z534" s="4"/>
    </row>
    <row r="535" spans="1:26" x14ac:dyDescent="0.2">
      <c r="A535" s="2">
        <v>115840</v>
      </c>
      <c r="B535" s="2" t="s">
        <v>618</v>
      </c>
      <c r="C535" s="2" t="s">
        <v>456</v>
      </c>
      <c r="D535" s="2" t="s">
        <v>39</v>
      </c>
      <c r="E535" s="2" t="s">
        <v>24</v>
      </c>
      <c r="G535" s="2" t="str">
        <f>IFERROR(VLOOKUP(F535,Picks!$A$2:$B$231,2,0),"")</f>
        <v/>
      </c>
      <c r="I535" s="4"/>
      <c r="J535" s="4"/>
      <c r="K535" s="4"/>
      <c r="L535" s="4"/>
      <c r="O535" s="4"/>
      <c r="P535" s="4"/>
      <c r="Q535" s="4"/>
      <c r="R535" s="4"/>
      <c r="W535" s="4"/>
      <c r="X535" s="4"/>
      <c r="Y535" s="4"/>
      <c r="Z535" s="4"/>
    </row>
    <row r="536" spans="1:26" x14ac:dyDescent="0.2">
      <c r="A536" s="2">
        <v>143532</v>
      </c>
      <c r="B536" s="2" t="s">
        <v>618</v>
      </c>
      <c r="C536" s="2" t="s">
        <v>200</v>
      </c>
      <c r="D536" s="2" t="s">
        <v>43</v>
      </c>
      <c r="E536" s="2" t="s">
        <v>24</v>
      </c>
      <c r="G536" s="2" t="str">
        <f>IFERROR(VLOOKUP(F536,Picks!$A$2:$B$231,2,0),"")</f>
        <v/>
      </c>
      <c r="I536" s="4"/>
      <c r="J536" s="4"/>
      <c r="K536" s="4"/>
      <c r="L536" s="4"/>
      <c r="O536" s="4"/>
      <c r="P536" s="4"/>
      <c r="Q536" s="4"/>
      <c r="R536" s="4"/>
      <c r="W536" s="4"/>
      <c r="X536" s="4"/>
      <c r="Y536" s="4"/>
      <c r="Z536" s="4"/>
    </row>
    <row r="537" spans="1:26" x14ac:dyDescent="0.2">
      <c r="A537" s="2">
        <v>106028</v>
      </c>
      <c r="B537" s="2" t="s">
        <v>618</v>
      </c>
      <c r="C537" s="2" t="s">
        <v>364</v>
      </c>
      <c r="D537" s="2" t="s">
        <v>52</v>
      </c>
      <c r="E537" s="2" t="s">
        <v>24</v>
      </c>
      <c r="G537" s="2" t="str">
        <f>IFERROR(VLOOKUP(F537,Picks!$A$2:$B$231,2,0),"")</f>
        <v/>
      </c>
      <c r="I537" s="4"/>
      <c r="J537" s="4"/>
      <c r="K537" s="4"/>
      <c r="L537" s="4"/>
      <c r="O537" s="4"/>
      <c r="P537" s="4"/>
      <c r="Q537" s="4"/>
      <c r="R537" s="4"/>
      <c r="W537" s="4"/>
      <c r="X537" s="4"/>
      <c r="Y537" s="4"/>
      <c r="Z537" s="4"/>
    </row>
    <row r="538" spans="1:26" x14ac:dyDescent="0.2">
      <c r="A538" s="2">
        <v>129930</v>
      </c>
      <c r="B538" s="2" t="s">
        <v>618</v>
      </c>
      <c r="C538" s="2" t="s">
        <v>534</v>
      </c>
      <c r="D538" s="2" t="s">
        <v>61</v>
      </c>
      <c r="E538" s="2" t="s">
        <v>24</v>
      </c>
      <c r="G538" s="2" t="str">
        <f>IFERROR(VLOOKUP(F538,Picks!$A$2:$B$231,2,0),"")</f>
        <v/>
      </c>
      <c r="I538" s="4"/>
      <c r="J538" s="4"/>
      <c r="K538" s="4"/>
      <c r="L538" s="4"/>
      <c r="O538" s="4"/>
      <c r="P538" s="4"/>
      <c r="Q538" s="4"/>
      <c r="R538" s="4"/>
      <c r="W538" s="4"/>
      <c r="X538" s="4"/>
      <c r="Y538" s="4"/>
      <c r="Z538" s="4"/>
    </row>
    <row r="539" spans="1:26" x14ac:dyDescent="0.2">
      <c r="A539" s="2">
        <v>95936</v>
      </c>
      <c r="B539" s="2" t="s">
        <v>618</v>
      </c>
      <c r="C539" s="2" t="s">
        <v>239</v>
      </c>
      <c r="D539" s="2" t="s">
        <v>67</v>
      </c>
      <c r="E539" s="2" t="s">
        <v>24</v>
      </c>
      <c r="G539" s="2" t="str">
        <f>IFERROR(VLOOKUP(F539,Picks!$A$2:$B$231,2,0),"")</f>
        <v/>
      </c>
      <c r="I539" s="4"/>
      <c r="J539" s="4"/>
      <c r="K539" s="4"/>
      <c r="L539" s="4"/>
      <c r="O539" s="4"/>
      <c r="P539" s="4"/>
      <c r="Q539" s="4"/>
      <c r="R539" s="4"/>
      <c r="W539" s="4"/>
      <c r="X539" s="4"/>
      <c r="Y539" s="4"/>
      <c r="Z539" s="4"/>
    </row>
    <row r="540" spans="1:26" x14ac:dyDescent="0.2">
      <c r="A540" s="2">
        <v>113690</v>
      </c>
      <c r="B540" s="2" t="s">
        <v>618</v>
      </c>
      <c r="C540" s="2" t="s">
        <v>445</v>
      </c>
      <c r="D540" s="2" t="s">
        <v>50</v>
      </c>
      <c r="E540" s="2" t="s">
        <v>24</v>
      </c>
      <c r="G540" s="2" t="str">
        <f>IFERROR(VLOOKUP(F540,Picks!$A$2:$B$231,2,0),"")</f>
        <v/>
      </c>
      <c r="I540" s="4"/>
      <c r="J540" s="4"/>
      <c r="K540" s="4"/>
      <c r="L540" s="4"/>
      <c r="O540" s="4"/>
      <c r="P540" s="4"/>
      <c r="Q540" s="4"/>
      <c r="R540" s="4"/>
      <c r="W540" s="4"/>
      <c r="X540" s="4"/>
      <c r="Y540" s="4"/>
      <c r="Z540" s="4"/>
    </row>
    <row r="541" spans="1:26" x14ac:dyDescent="0.2">
      <c r="A541" s="2">
        <v>122318</v>
      </c>
      <c r="B541" s="2" t="s">
        <v>618</v>
      </c>
      <c r="C541" s="2" t="s">
        <v>484</v>
      </c>
      <c r="D541" s="2" t="s">
        <v>47</v>
      </c>
      <c r="E541" s="2" t="s">
        <v>24</v>
      </c>
      <c r="G541" s="2" t="str">
        <f>IFERROR(VLOOKUP(F541,Picks!$A$2:$B$231,2,0),"")</f>
        <v/>
      </c>
      <c r="I541" s="4"/>
      <c r="J541" s="4"/>
      <c r="K541" s="4"/>
      <c r="L541" s="4"/>
      <c r="O541" s="4"/>
      <c r="P541" s="4"/>
      <c r="Q541" s="4"/>
      <c r="R541" s="4"/>
      <c r="W541" s="4"/>
      <c r="X541" s="4"/>
      <c r="Y541" s="4"/>
      <c r="Z541" s="4"/>
    </row>
    <row r="542" spans="1:26" x14ac:dyDescent="0.2">
      <c r="A542" s="2">
        <v>104588</v>
      </c>
      <c r="B542" s="2" t="s">
        <v>618</v>
      </c>
      <c r="C542" s="2" t="s">
        <v>339</v>
      </c>
      <c r="D542" s="2" t="s">
        <v>77</v>
      </c>
      <c r="E542" s="2" t="s">
        <v>24</v>
      </c>
      <c r="G542" s="2" t="str">
        <f>IFERROR(VLOOKUP(F542,Picks!$A$2:$B$231,2,0),"")</f>
        <v/>
      </c>
      <c r="I542" s="4"/>
      <c r="J542" s="4"/>
      <c r="K542" s="4"/>
      <c r="L542" s="4"/>
      <c r="O542" s="4"/>
      <c r="P542" s="4"/>
      <c r="Q542" s="4"/>
      <c r="R542" s="4"/>
      <c r="W542" s="4"/>
      <c r="X542" s="4"/>
      <c r="Y542" s="4"/>
      <c r="Z542" s="4"/>
    </row>
    <row r="543" spans="1:26" x14ac:dyDescent="0.2">
      <c r="A543" s="2">
        <v>131753</v>
      </c>
      <c r="B543" s="2" t="s">
        <v>618</v>
      </c>
      <c r="C543" s="2" t="s">
        <v>552</v>
      </c>
      <c r="D543" s="2" t="s">
        <v>99</v>
      </c>
      <c r="E543" s="2" t="s">
        <v>24</v>
      </c>
      <c r="G543" s="2" t="str">
        <f>IFERROR(VLOOKUP(F543,Picks!$A$2:$B$231,2,0),"")</f>
        <v/>
      </c>
      <c r="I543" s="4"/>
      <c r="J543" s="4"/>
      <c r="K543" s="4"/>
      <c r="L543" s="4"/>
      <c r="O543" s="4"/>
      <c r="P543" s="4"/>
      <c r="Q543" s="4"/>
      <c r="R543" s="4"/>
      <c r="W543" s="4"/>
      <c r="X543" s="4"/>
      <c r="Y543" s="4"/>
      <c r="Z543" s="4"/>
    </row>
    <row r="544" spans="1:26" x14ac:dyDescent="0.2">
      <c r="A544" s="2">
        <v>115674</v>
      </c>
      <c r="B544" s="2" t="s">
        <v>618</v>
      </c>
      <c r="C544" s="2" t="s">
        <v>455</v>
      </c>
      <c r="D544" s="2" t="s">
        <v>26</v>
      </c>
      <c r="E544" s="2" t="s">
        <v>24</v>
      </c>
      <c r="G544" s="2" t="str">
        <f>IFERROR(VLOOKUP(F544,Picks!$A$2:$B$231,2,0),"")</f>
        <v/>
      </c>
      <c r="I544" s="4"/>
      <c r="J544" s="4"/>
      <c r="K544" s="4"/>
      <c r="L544" s="4"/>
      <c r="O544" s="4"/>
      <c r="P544" s="4"/>
      <c r="Q544" s="4"/>
      <c r="R544" s="4"/>
      <c r="W544" s="4"/>
      <c r="X544" s="4"/>
      <c r="Y544" s="4"/>
      <c r="Z544" s="4"/>
    </row>
    <row r="545" spans="1:26" x14ac:dyDescent="0.2">
      <c r="A545" s="2">
        <v>112616</v>
      </c>
      <c r="C545" s="2" t="s">
        <v>434</v>
      </c>
      <c r="D545" s="2" t="s">
        <v>33</v>
      </c>
      <c r="E545" s="2" t="s">
        <v>24</v>
      </c>
      <c r="G545" s="2" t="str">
        <f>IFERROR(VLOOKUP(F545,Picks!$A$2:$B$231,2,0),"")</f>
        <v/>
      </c>
      <c r="I545" s="4"/>
      <c r="J545" s="4"/>
      <c r="K545" s="4"/>
      <c r="L545" s="4"/>
      <c r="M545" s="2" t="s">
        <v>621</v>
      </c>
      <c r="N545" s="2">
        <v>15</v>
      </c>
      <c r="O545" s="4"/>
      <c r="P545" s="4"/>
      <c r="Q545" s="4"/>
      <c r="R545" s="4"/>
      <c r="U545" s="2" t="s">
        <v>655</v>
      </c>
      <c r="V545" s="2">
        <v>193</v>
      </c>
      <c r="W545" s="4"/>
      <c r="X545" s="4"/>
      <c r="Y545" s="4"/>
      <c r="Z545" s="4"/>
    </row>
    <row r="546" spans="1:26" x14ac:dyDescent="0.2">
      <c r="A546" s="2">
        <v>50742</v>
      </c>
      <c r="B546" s="2" t="s">
        <v>618</v>
      </c>
      <c r="C546" s="2" t="s">
        <v>38</v>
      </c>
      <c r="D546" s="2" t="s">
        <v>39</v>
      </c>
      <c r="E546" s="2" t="s">
        <v>24</v>
      </c>
      <c r="G546" s="2" t="str">
        <f>IFERROR(VLOOKUP(F546,Picks!$A$2:$B$231,2,0),"")</f>
        <v/>
      </c>
      <c r="I546" s="4"/>
      <c r="J546" s="4"/>
      <c r="K546" s="4"/>
      <c r="L546" s="4"/>
      <c r="O546" s="4"/>
      <c r="P546" s="4"/>
      <c r="Q546" s="4"/>
      <c r="R546" s="4"/>
      <c r="W546" s="4"/>
      <c r="X546" s="4"/>
      <c r="Y546" s="4"/>
      <c r="Z546" s="4"/>
    </row>
    <row r="547" spans="1:26" x14ac:dyDescent="0.2">
      <c r="A547" s="2">
        <v>88136</v>
      </c>
      <c r="B547" s="2" t="s">
        <v>618</v>
      </c>
      <c r="C547" s="2" t="s">
        <v>174</v>
      </c>
      <c r="D547" s="2" t="s">
        <v>58</v>
      </c>
      <c r="E547" s="2" t="s">
        <v>24</v>
      </c>
      <c r="G547" s="2" t="str">
        <f>IFERROR(VLOOKUP(F547,Picks!$A$2:$B$231,2,0),"")</f>
        <v/>
      </c>
      <c r="I547" s="4"/>
      <c r="J547" s="4"/>
      <c r="K547" s="4"/>
      <c r="L547" s="4"/>
      <c r="O547" s="4"/>
      <c r="P547" s="4"/>
      <c r="Q547" s="4"/>
      <c r="R547" s="4"/>
      <c r="W547" s="4"/>
      <c r="X547" s="4"/>
      <c r="Y547" s="4"/>
      <c r="Z547" s="4"/>
    </row>
    <row r="548" spans="1:26" x14ac:dyDescent="0.2">
      <c r="A548" s="2">
        <v>85425</v>
      </c>
      <c r="B548" s="2" t="s">
        <v>618</v>
      </c>
      <c r="C548" s="2" t="s">
        <v>154</v>
      </c>
      <c r="D548" s="2" t="s">
        <v>45</v>
      </c>
      <c r="E548" s="2" t="s">
        <v>24</v>
      </c>
      <c r="G548" s="2" t="str">
        <f>IFERROR(VLOOKUP(F548,Picks!$A$2:$B$231,2,0),"")</f>
        <v/>
      </c>
      <c r="I548" s="4"/>
      <c r="J548" s="4"/>
      <c r="K548" s="4"/>
      <c r="L548" s="4"/>
      <c r="O548" s="4"/>
      <c r="P548" s="4"/>
      <c r="Q548" s="4"/>
      <c r="R548" s="4"/>
      <c r="W548" s="4"/>
      <c r="X548" s="4"/>
      <c r="Y548" s="4"/>
      <c r="Z548" s="4"/>
    </row>
    <row r="549" spans="1:26" x14ac:dyDescent="0.2">
      <c r="A549" s="2">
        <v>141385</v>
      </c>
      <c r="B549" s="2" t="s">
        <v>618</v>
      </c>
      <c r="C549" s="2" t="s">
        <v>252</v>
      </c>
      <c r="D549" s="2" t="s">
        <v>118</v>
      </c>
      <c r="E549" s="2" t="s">
        <v>24</v>
      </c>
      <c r="G549" s="2" t="str">
        <f>IFERROR(VLOOKUP(F549,Picks!$A$2:$B$231,2,0),"")</f>
        <v/>
      </c>
      <c r="I549" s="4"/>
      <c r="J549" s="4"/>
      <c r="K549" s="4"/>
      <c r="L549" s="4"/>
      <c r="O549" s="4"/>
      <c r="P549" s="4"/>
      <c r="Q549" s="4"/>
      <c r="R549" s="4"/>
      <c r="W549" s="4"/>
      <c r="X549" s="4"/>
      <c r="Y549" s="4"/>
      <c r="Z549" s="4"/>
    </row>
    <row r="550" spans="1:26" x14ac:dyDescent="0.2">
      <c r="A550" s="2">
        <v>130189</v>
      </c>
      <c r="B550" s="2" t="s">
        <v>618</v>
      </c>
      <c r="C550" s="2" t="s">
        <v>535</v>
      </c>
      <c r="D550" s="2" t="s">
        <v>47</v>
      </c>
      <c r="E550" s="2" t="s">
        <v>24</v>
      </c>
      <c r="G550" s="2" t="str">
        <f>IFERROR(VLOOKUP(F550,Picks!$A$2:$B$231,2,0),"")</f>
        <v/>
      </c>
      <c r="I550" s="4"/>
      <c r="J550" s="4"/>
      <c r="K550" s="4"/>
      <c r="L550" s="4"/>
      <c r="O550" s="4"/>
      <c r="P550" s="4"/>
      <c r="Q550" s="4"/>
      <c r="R550" s="4"/>
      <c r="W550" s="4"/>
      <c r="X550" s="4"/>
      <c r="Y550" s="4"/>
      <c r="Z550" s="4"/>
    </row>
    <row r="551" spans="1:26" x14ac:dyDescent="0.2">
      <c r="A551" s="2">
        <v>71043</v>
      </c>
      <c r="B551" s="2" t="s">
        <v>618</v>
      </c>
      <c r="C551" s="2" t="s">
        <v>81</v>
      </c>
      <c r="D551" s="2" t="s">
        <v>63</v>
      </c>
      <c r="E551" s="2" t="s">
        <v>24</v>
      </c>
      <c r="G551" s="2" t="str">
        <f>IFERROR(VLOOKUP(F551,Picks!$A$2:$B$231,2,0),"")</f>
        <v/>
      </c>
      <c r="I551" s="4"/>
      <c r="J551" s="4"/>
      <c r="K551" s="4"/>
      <c r="L551" s="4"/>
      <c r="O551" s="4"/>
      <c r="P551" s="4"/>
      <c r="Q551" s="4"/>
      <c r="R551" s="4"/>
      <c r="W551" s="4"/>
      <c r="X551" s="4"/>
      <c r="Y551" s="4"/>
      <c r="Z551" s="4"/>
    </row>
    <row r="552" spans="1:26" x14ac:dyDescent="0.2">
      <c r="A552" s="2">
        <v>106160</v>
      </c>
      <c r="B552" s="2" t="s">
        <v>618</v>
      </c>
      <c r="C552" s="2" t="s">
        <v>366</v>
      </c>
      <c r="D552" s="2" t="s">
        <v>77</v>
      </c>
      <c r="E552" s="2" t="s">
        <v>24</v>
      </c>
      <c r="G552" s="2" t="str">
        <f>IFERROR(VLOOKUP(F552,Picks!$A$2:$B$231,2,0),"")</f>
        <v/>
      </c>
      <c r="I552" s="4"/>
      <c r="J552" s="4"/>
      <c r="K552" s="4"/>
      <c r="L552" s="4"/>
      <c r="O552" s="4"/>
      <c r="P552" s="4"/>
      <c r="Q552" s="4"/>
      <c r="R552" s="4"/>
      <c r="W552" s="4"/>
      <c r="X552" s="4"/>
      <c r="Y552" s="4"/>
      <c r="Z552" s="4"/>
    </row>
    <row r="553" spans="1:26" x14ac:dyDescent="0.2">
      <c r="A553" s="2">
        <v>142130</v>
      </c>
      <c r="B553" s="2" t="s">
        <v>618</v>
      </c>
      <c r="C553" s="2" t="s">
        <v>587</v>
      </c>
      <c r="D553" s="2" t="s">
        <v>35</v>
      </c>
      <c r="E553" s="2" t="s">
        <v>24</v>
      </c>
      <c r="G553" s="2" t="str">
        <f>IFERROR(VLOOKUP(F553,Picks!$A$2:$B$231,2,0),"")</f>
        <v/>
      </c>
      <c r="I553" s="4"/>
      <c r="J553" s="4"/>
      <c r="K553" s="4"/>
      <c r="L553" s="4"/>
      <c r="O553" s="4"/>
      <c r="P553" s="4"/>
      <c r="Q553" s="4"/>
      <c r="R553" s="4"/>
      <c r="W553" s="4"/>
      <c r="X553" s="4"/>
      <c r="Y553" s="4"/>
      <c r="Z553" s="4"/>
    </row>
    <row r="554" spans="1:26" x14ac:dyDescent="0.2">
      <c r="A554" s="2">
        <v>68872</v>
      </c>
      <c r="B554" s="2" t="s">
        <v>618</v>
      </c>
      <c r="C554" s="2" t="s">
        <v>64</v>
      </c>
      <c r="D554" s="2" t="s">
        <v>65</v>
      </c>
      <c r="E554" s="2" t="s">
        <v>24</v>
      </c>
      <c r="G554" s="2" t="str">
        <f>IFERROR(VLOOKUP(F554,Picks!$A$2:$B$231,2,0),"")</f>
        <v/>
      </c>
      <c r="I554" s="4"/>
      <c r="J554" s="4"/>
      <c r="K554" s="4"/>
      <c r="L554" s="4"/>
      <c r="O554" s="4"/>
      <c r="P554" s="4"/>
      <c r="Q554" s="4"/>
      <c r="R554" s="4"/>
      <c r="W554" s="4"/>
      <c r="X554" s="4"/>
      <c r="Y554" s="4"/>
      <c r="Z554" s="4"/>
    </row>
    <row r="555" spans="1:26" x14ac:dyDescent="0.2">
      <c r="A555" s="2">
        <v>101478</v>
      </c>
      <c r="B555" s="2" t="s">
        <v>618</v>
      </c>
      <c r="C555" s="2" t="s">
        <v>301</v>
      </c>
      <c r="D555" s="2" t="s">
        <v>23</v>
      </c>
      <c r="E555" s="2" t="s">
        <v>24</v>
      </c>
      <c r="G555" s="2" t="str">
        <f>IFERROR(VLOOKUP(F555,Picks!$A$2:$B$231,2,0),"")</f>
        <v/>
      </c>
      <c r="I555" s="4"/>
      <c r="J555" s="4"/>
      <c r="K555" s="4"/>
      <c r="L555" s="4"/>
      <c r="O555" s="4"/>
      <c r="P555" s="4"/>
      <c r="Q555" s="4"/>
      <c r="R555" s="4"/>
      <c r="W555" s="4"/>
      <c r="X555" s="4"/>
      <c r="Y555" s="4"/>
      <c r="Z555" s="4"/>
    </row>
    <row r="556" spans="1:26" x14ac:dyDescent="0.2">
      <c r="A556" s="2">
        <v>141386</v>
      </c>
      <c r="B556" s="2" t="s">
        <v>618</v>
      </c>
      <c r="C556" s="2" t="s">
        <v>578</v>
      </c>
      <c r="D556" s="2" t="s">
        <v>118</v>
      </c>
      <c r="E556" s="2" t="s">
        <v>24</v>
      </c>
      <c r="G556" s="2" t="str">
        <f>IFERROR(VLOOKUP(F556,Picks!$A$2:$B$231,2,0),"")</f>
        <v/>
      </c>
      <c r="I556" s="4"/>
      <c r="J556" s="4"/>
      <c r="K556" s="4"/>
      <c r="L556" s="4"/>
      <c r="O556" s="4"/>
      <c r="P556" s="4"/>
      <c r="Q556" s="4"/>
      <c r="R556" s="4"/>
      <c r="W556" s="4"/>
      <c r="X556" s="4"/>
      <c r="Y556" s="4"/>
      <c r="Z556" s="4"/>
    </row>
    <row r="557" spans="1:26" x14ac:dyDescent="0.2">
      <c r="A557" s="2">
        <v>111690</v>
      </c>
      <c r="B557" s="2" t="s">
        <v>618</v>
      </c>
      <c r="C557" s="2" t="s">
        <v>421</v>
      </c>
      <c r="D557" s="2" t="s">
        <v>35</v>
      </c>
      <c r="E557" s="2" t="s">
        <v>24</v>
      </c>
      <c r="G557" s="2" t="str">
        <f>IFERROR(VLOOKUP(F557,Picks!$A$2:$B$231,2,0),"")</f>
        <v/>
      </c>
      <c r="I557" s="4"/>
      <c r="J557" s="4"/>
      <c r="K557" s="4"/>
      <c r="L557" s="4"/>
      <c r="O557" s="4"/>
      <c r="P557" s="4"/>
      <c r="Q557" s="4"/>
      <c r="R557" s="4"/>
      <c r="W557" s="4"/>
      <c r="X557" s="4"/>
      <c r="Y557" s="4"/>
      <c r="Z557" s="4"/>
    </row>
    <row r="558" spans="1:26" x14ac:dyDescent="0.2">
      <c r="A558" s="2">
        <v>107179</v>
      </c>
      <c r="B558" s="2" t="s">
        <v>618</v>
      </c>
      <c r="C558" s="2" t="s">
        <v>378</v>
      </c>
      <c r="D558" s="2" t="s">
        <v>99</v>
      </c>
      <c r="E558" s="2" t="s">
        <v>24</v>
      </c>
      <c r="G558" s="2" t="str">
        <f>IFERROR(VLOOKUP(F558,Picks!$A$2:$B$231,2,0),"")</f>
        <v/>
      </c>
      <c r="I558" s="4"/>
      <c r="J558" s="4"/>
      <c r="K558" s="4"/>
      <c r="L558" s="4"/>
      <c r="O558" s="4"/>
      <c r="P558" s="4"/>
      <c r="Q558" s="4"/>
      <c r="R558" s="4"/>
      <c r="W558" s="4"/>
      <c r="X558" s="4"/>
      <c r="Y558" s="4"/>
      <c r="Z558" s="4"/>
    </row>
    <row r="559" spans="1:26" x14ac:dyDescent="0.2">
      <c r="A559" s="2">
        <v>130842</v>
      </c>
      <c r="B559" s="2" t="s">
        <v>618</v>
      </c>
      <c r="C559" s="2" t="s">
        <v>546</v>
      </c>
      <c r="D559" s="2" t="s">
        <v>43</v>
      </c>
      <c r="E559" s="2" t="s">
        <v>24</v>
      </c>
      <c r="G559" s="2" t="str">
        <f>IFERROR(VLOOKUP(F559,Picks!$A$2:$B$231,2,0),"")</f>
        <v/>
      </c>
      <c r="I559" s="4"/>
      <c r="J559" s="4"/>
      <c r="K559" s="4"/>
      <c r="L559" s="4"/>
      <c r="O559" s="4"/>
      <c r="P559" s="4"/>
      <c r="Q559" s="4"/>
      <c r="R559" s="4"/>
      <c r="W559" s="4"/>
      <c r="X559" s="4"/>
      <c r="Y559" s="4"/>
      <c r="Z559" s="4"/>
    </row>
    <row r="560" spans="1:26" x14ac:dyDescent="0.2">
      <c r="A560" s="2">
        <v>110698</v>
      </c>
      <c r="B560" s="2" t="s">
        <v>618</v>
      </c>
      <c r="C560" s="2" t="s">
        <v>409</v>
      </c>
      <c r="D560" s="2" t="s">
        <v>43</v>
      </c>
      <c r="E560" s="2" t="s">
        <v>24</v>
      </c>
      <c r="G560" s="2" t="str">
        <f>IFERROR(VLOOKUP(F560,Picks!$A$2:$B$231,2,0),"")</f>
        <v/>
      </c>
      <c r="I560" s="4"/>
      <c r="J560" s="4"/>
      <c r="K560" s="4"/>
      <c r="L560" s="4"/>
      <c r="O560" s="4"/>
      <c r="P560" s="4"/>
      <c r="Q560" s="4"/>
      <c r="R560" s="4"/>
      <c r="W560" s="4"/>
      <c r="X560" s="4"/>
      <c r="Y560" s="4"/>
      <c r="Z560" s="4"/>
    </row>
    <row r="561" spans="1:26" x14ac:dyDescent="0.2">
      <c r="A561" s="2">
        <v>117404</v>
      </c>
      <c r="B561" s="2" t="s">
        <v>618</v>
      </c>
      <c r="C561" s="2" t="s">
        <v>129</v>
      </c>
      <c r="D561" s="2" t="s">
        <v>35</v>
      </c>
      <c r="E561" s="2" t="s">
        <v>24</v>
      </c>
      <c r="G561" s="2" t="str">
        <f>IFERROR(VLOOKUP(F561,Picks!$A$2:$B$231,2,0),"")</f>
        <v/>
      </c>
      <c r="I561" s="4"/>
      <c r="J561" s="4"/>
      <c r="K561" s="4"/>
      <c r="L561" s="4"/>
      <c r="O561" s="4"/>
      <c r="P561" s="4"/>
      <c r="Q561" s="4"/>
      <c r="R561" s="4"/>
      <c r="W561" s="4"/>
      <c r="X561" s="4"/>
      <c r="Y561" s="4"/>
      <c r="Z561" s="4"/>
    </row>
    <row r="562" spans="1:26" x14ac:dyDescent="0.2">
      <c r="A562" s="2">
        <v>110708</v>
      </c>
      <c r="B562" s="2" t="s">
        <v>618</v>
      </c>
      <c r="C562" s="2" t="s">
        <v>410</v>
      </c>
      <c r="D562" s="2" t="s">
        <v>39</v>
      </c>
      <c r="E562" s="2" t="s">
        <v>24</v>
      </c>
      <c r="G562" s="2" t="str">
        <f>IFERROR(VLOOKUP(F562,Picks!$A$2:$B$231,2,0),"")</f>
        <v/>
      </c>
      <c r="I562" s="4"/>
      <c r="J562" s="4"/>
      <c r="K562" s="4"/>
      <c r="L562" s="4"/>
      <c r="O562" s="4"/>
      <c r="P562" s="4"/>
      <c r="Q562" s="4"/>
      <c r="R562" s="4"/>
      <c r="W562" s="4"/>
      <c r="X562" s="4"/>
      <c r="Y562" s="4"/>
      <c r="Z562" s="4"/>
    </row>
    <row r="563" spans="1:26" x14ac:dyDescent="0.2">
      <c r="A563" s="2">
        <v>130280</v>
      </c>
      <c r="B563" s="2" t="s">
        <v>618</v>
      </c>
      <c r="C563" s="2" t="s">
        <v>537</v>
      </c>
      <c r="D563" s="2" t="s">
        <v>67</v>
      </c>
      <c r="E563" s="2" t="s">
        <v>24</v>
      </c>
      <c r="G563" s="2" t="str">
        <f>IFERROR(VLOOKUP(F563,Picks!$A$2:$B$231,2,0),"")</f>
        <v/>
      </c>
      <c r="I563" s="4"/>
      <c r="J563" s="4"/>
      <c r="K563" s="4"/>
      <c r="L563" s="4"/>
      <c r="O563" s="4"/>
      <c r="P563" s="4"/>
      <c r="Q563" s="4"/>
      <c r="R563" s="4"/>
      <c r="W563" s="4"/>
      <c r="X563" s="4"/>
      <c r="Y563" s="4"/>
      <c r="Z563" s="4"/>
    </row>
    <row r="564" spans="1:26" x14ac:dyDescent="0.2">
      <c r="A564" s="2">
        <v>104191</v>
      </c>
      <c r="B564" s="2" t="s">
        <v>618</v>
      </c>
      <c r="C564" s="2" t="s">
        <v>216</v>
      </c>
      <c r="D564" s="2" t="s">
        <v>61</v>
      </c>
      <c r="E564" s="2" t="s">
        <v>24</v>
      </c>
      <c r="G564" s="2" t="str">
        <f>IFERROR(VLOOKUP(F564,Picks!$A$2:$B$231,2,0),"")</f>
        <v/>
      </c>
      <c r="I564" s="4"/>
      <c r="J564" s="4"/>
      <c r="K564" s="4"/>
      <c r="L564" s="4"/>
      <c r="O564" s="4"/>
      <c r="P564" s="4"/>
      <c r="Q564" s="4"/>
      <c r="R564" s="4"/>
      <c r="W564" s="4"/>
      <c r="X564" s="4"/>
      <c r="Y564" s="4"/>
      <c r="Z564" s="4"/>
    </row>
    <row r="565" spans="1:26" x14ac:dyDescent="0.2">
      <c r="A565" s="2">
        <v>116067</v>
      </c>
      <c r="B565" s="2" t="s">
        <v>618</v>
      </c>
      <c r="C565" s="2" t="s">
        <v>461</v>
      </c>
      <c r="D565" s="2" t="s">
        <v>31</v>
      </c>
      <c r="E565" s="2" t="s">
        <v>24</v>
      </c>
      <c r="G565" s="2" t="str">
        <f>IFERROR(VLOOKUP(F565,Picks!$A$2:$B$231,2,0),"")</f>
        <v/>
      </c>
      <c r="I565" s="4"/>
      <c r="J565" s="4"/>
      <c r="K565" s="4"/>
      <c r="L565" s="4"/>
      <c r="O565" s="4"/>
      <c r="P565" s="4"/>
      <c r="Q565" s="4"/>
      <c r="R565" s="4"/>
      <c r="W565" s="4"/>
      <c r="X565" s="4"/>
      <c r="Y565" s="4"/>
      <c r="Z565" s="4"/>
    </row>
    <row r="566" spans="1:26" x14ac:dyDescent="0.2">
      <c r="A566" s="2">
        <v>97645</v>
      </c>
      <c r="B566" s="2" t="s">
        <v>618</v>
      </c>
      <c r="C566" s="2" t="s">
        <v>256</v>
      </c>
      <c r="D566" s="2" t="s">
        <v>33</v>
      </c>
      <c r="E566" s="2" t="s">
        <v>24</v>
      </c>
      <c r="G566" s="2" t="str">
        <f>IFERROR(VLOOKUP(F566,Picks!$A$2:$B$231,2,0),"")</f>
        <v/>
      </c>
      <c r="I566" s="4"/>
      <c r="J566" s="4"/>
      <c r="K566" s="4"/>
      <c r="L566" s="4"/>
      <c r="O566" s="4"/>
      <c r="P566" s="4"/>
      <c r="Q566" s="4"/>
      <c r="R566" s="4"/>
      <c r="W566" s="4"/>
      <c r="X566" s="4"/>
      <c r="Y566" s="4"/>
      <c r="Z566" s="4"/>
    </row>
    <row r="567" spans="1:26" x14ac:dyDescent="0.2">
      <c r="A567" s="2">
        <v>72279</v>
      </c>
      <c r="B567" s="2" t="s">
        <v>618</v>
      </c>
      <c r="C567" s="2" t="s">
        <v>88</v>
      </c>
      <c r="D567" s="2" t="s">
        <v>41</v>
      </c>
      <c r="E567" s="2" t="s">
        <v>24</v>
      </c>
      <c r="G567" s="2" t="str">
        <f>IFERROR(VLOOKUP(F567,Picks!$A$2:$B$231,2,0),"")</f>
        <v/>
      </c>
      <c r="I567" s="4"/>
      <c r="J567" s="4"/>
      <c r="K567" s="4"/>
      <c r="L567" s="4"/>
      <c r="O567" s="4"/>
      <c r="P567" s="4"/>
      <c r="Q567" s="4"/>
      <c r="R567" s="4"/>
      <c r="W567" s="4"/>
      <c r="X567" s="4"/>
      <c r="Y567" s="4"/>
      <c r="Z567" s="4"/>
    </row>
    <row r="568" spans="1:26" x14ac:dyDescent="0.2">
      <c r="A568" s="2">
        <v>122994</v>
      </c>
      <c r="B568" s="2" t="s">
        <v>618</v>
      </c>
      <c r="C568" s="2" t="s">
        <v>499</v>
      </c>
      <c r="D568" s="2" t="s">
        <v>45</v>
      </c>
      <c r="E568" s="2" t="s">
        <v>24</v>
      </c>
      <c r="G568" s="2" t="str">
        <f>IFERROR(VLOOKUP(F568,Picks!$A$2:$B$231,2,0),"")</f>
        <v/>
      </c>
      <c r="I568" s="4"/>
      <c r="J568" s="4"/>
      <c r="K568" s="4"/>
      <c r="L568" s="4"/>
      <c r="O568" s="4"/>
      <c r="P568" s="4"/>
      <c r="Q568" s="4"/>
      <c r="R568" s="4"/>
      <c r="W568" s="4"/>
      <c r="X568" s="4"/>
      <c r="Y568" s="4"/>
      <c r="Z568" s="4"/>
    </row>
    <row r="569" spans="1:26" x14ac:dyDescent="0.2">
      <c r="A569" s="2">
        <v>102137</v>
      </c>
      <c r="B569" s="2" t="s">
        <v>618</v>
      </c>
      <c r="C569" s="2" t="s">
        <v>310</v>
      </c>
      <c r="D569" s="2" t="s">
        <v>23</v>
      </c>
      <c r="E569" s="2" t="s">
        <v>24</v>
      </c>
      <c r="G569" s="2" t="str">
        <f>IFERROR(VLOOKUP(F569,Picks!$A$2:$B$231,2,0),"")</f>
        <v/>
      </c>
      <c r="I569" s="4"/>
      <c r="J569" s="4"/>
      <c r="K569" s="4"/>
      <c r="L569" s="4"/>
      <c r="O569" s="4"/>
      <c r="P569" s="4"/>
      <c r="Q569" s="4"/>
      <c r="R569" s="4"/>
      <c r="W569" s="4"/>
      <c r="X569" s="4"/>
      <c r="Y569" s="4"/>
      <c r="Z569" s="4"/>
    </row>
    <row r="570" spans="1:26" x14ac:dyDescent="0.2">
      <c r="A570" s="2">
        <v>83074</v>
      </c>
      <c r="B570" s="2" t="s">
        <v>618</v>
      </c>
      <c r="C570" s="2" t="s">
        <v>135</v>
      </c>
      <c r="D570" s="2" t="s">
        <v>118</v>
      </c>
      <c r="E570" s="2" t="s">
        <v>24</v>
      </c>
      <c r="G570" s="2" t="str">
        <f>IFERROR(VLOOKUP(F570,Picks!$A$2:$B$231,2,0),"")</f>
        <v/>
      </c>
      <c r="I570" s="4"/>
      <c r="J570" s="4"/>
      <c r="K570" s="4"/>
      <c r="L570" s="4"/>
      <c r="O570" s="4"/>
      <c r="P570" s="4"/>
      <c r="Q570" s="4"/>
      <c r="R570" s="4"/>
      <c r="W570" s="4"/>
      <c r="X570" s="4"/>
      <c r="Y570" s="4"/>
      <c r="Z570" s="4"/>
    </row>
    <row r="571" spans="1:26" x14ac:dyDescent="0.2">
      <c r="A571" s="2">
        <v>117818</v>
      </c>
      <c r="B571" s="2" t="s">
        <v>618</v>
      </c>
      <c r="C571" s="2" t="s">
        <v>469</v>
      </c>
      <c r="D571" s="2" t="s">
        <v>52</v>
      </c>
      <c r="E571" s="2" t="s">
        <v>24</v>
      </c>
      <c r="G571" s="2" t="str">
        <f>IFERROR(VLOOKUP(F571,Picks!$A$2:$B$231,2,0),"")</f>
        <v/>
      </c>
      <c r="I571" s="4"/>
      <c r="J571" s="4"/>
      <c r="K571" s="4"/>
      <c r="L571" s="4"/>
      <c r="O571" s="4"/>
      <c r="P571" s="4"/>
      <c r="Q571" s="4"/>
      <c r="R571" s="4"/>
      <c r="W571" s="4"/>
      <c r="X571" s="4"/>
      <c r="Y571" s="4"/>
      <c r="Z571" s="4"/>
    </row>
    <row r="572" spans="1:26" x14ac:dyDescent="0.2">
      <c r="A572" s="2">
        <v>128427</v>
      </c>
      <c r="B572" s="2" t="s">
        <v>618</v>
      </c>
      <c r="C572" s="2" t="s">
        <v>528</v>
      </c>
      <c r="D572" s="2" t="s">
        <v>43</v>
      </c>
      <c r="E572" s="2" t="s">
        <v>29</v>
      </c>
      <c r="G572" s="2" t="str">
        <f>IFERROR(VLOOKUP(F572,Picks!$A$2:$B$231,2,0),"")</f>
        <v/>
      </c>
      <c r="I572" s="4"/>
      <c r="J572" s="4"/>
      <c r="K572" s="4"/>
      <c r="L572" s="4"/>
      <c r="O572" s="4"/>
      <c r="P572" s="4"/>
      <c r="Q572" s="4"/>
      <c r="R572" s="4"/>
      <c r="W572" s="4"/>
      <c r="X572" s="4"/>
      <c r="Y572" s="4"/>
      <c r="Z572" s="4"/>
    </row>
    <row r="573" spans="1:26" x14ac:dyDescent="0.2">
      <c r="A573" s="2">
        <v>127242</v>
      </c>
      <c r="B573" s="2" t="s">
        <v>618</v>
      </c>
      <c r="C573" s="2" t="s">
        <v>525</v>
      </c>
      <c r="D573" s="2" t="s">
        <v>99</v>
      </c>
      <c r="E573" s="2" t="s">
        <v>29</v>
      </c>
      <c r="G573" s="2" t="str">
        <f>IFERROR(VLOOKUP(F573,Picks!$A$2:$B$231,2,0),"")</f>
        <v/>
      </c>
      <c r="I573" s="4"/>
      <c r="J573" s="4"/>
      <c r="K573" s="4"/>
      <c r="L573" s="4"/>
      <c r="O573" s="4"/>
      <c r="P573" s="4"/>
      <c r="Q573" s="4"/>
      <c r="R573" s="4"/>
      <c r="W573" s="4"/>
      <c r="X573" s="4"/>
      <c r="Y573" s="4"/>
      <c r="Z573" s="4"/>
    </row>
    <row r="574" spans="1:26" x14ac:dyDescent="0.2">
      <c r="A574" s="2">
        <v>85315</v>
      </c>
      <c r="B574" s="2" t="s">
        <v>618</v>
      </c>
      <c r="C574" s="2" t="s">
        <v>152</v>
      </c>
      <c r="D574" s="2" t="s">
        <v>118</v>
      </c>
      <c r="E574" s="2" t="s">
        <v>29</v>
      </c>
      <c r="G574" s="2" t="str">
        <f>IFERROR(VLOOKUP(F574,Picks!$A$2:$B$231,2,0),"")</f>
        <v/>
      </c>
      <c r="I574" s="4"/>
      <c r="J574" s="4"/>
      <c r="K574" s="4"/>
      <c r="L574" s="4"/>
      <c r="O574" s="4"/>
      <c r="P574" s="4"/>
      <c r="Q574" s="4"/>
      <c r="R574" s="4"/>
      <c r="W574" s="4"/>
      <c r="X574" s="4"/>
      <c r="Y574" s="4"/>
      <c r="Z574" s="4"/>
    </row>
    <row r="575" spans="1:26" x14ac:dyDescent="0.2">
      <c r="A575" s="2">
        <v>146992</v>
      </c>
      <c r="B575" s="2" t="s">
        <v>618</v>
      </c>
      <c r="C575" s="2" t="s">
        <v>613</v>
      </c>
      <c r="D575" s="2" t="s">
        <v>35</v>
      </c>
      <c r="E575" s="2" t="s">
        <v>29</v>
      </c>
      <c r="G575" s="2" t="str">
        <f>IFERROR(VLOOKUP(F575,Picks!$A$2:$B$231,2,0),"")</f>
        <v/>
      </c>
      <c r="I575" s="4"/>
      <c r="J575" s="4"/>
      <c r="K575" s="4"/>
      <c r="L575" s="4"/>
      <c r="O575" s="4"/>
      <c r="P575" s="4"/>
      <c r="Q575" s="4"/>
      <c r="R575" s="4"/>
      <c r="W575" s="4"/>
      <c r="X575" s="4"/>
      <c r="Y575" s="4"/>
      <c r="Z575" s="4"/>
    </row>
    <row r="576" spans="1:26" x14ac:dyDescent="0.2">
      <c r="A576" s="2">
        <v>140438</v>
      </c>
      <c r="B576" s="2" t="s">
        <v>618</v>
      </c>
      <c r="C576" s="2" t="s">
        <v>192</v>
      </c>
      <c r="D576" s="2" t="s">
        <v>63</v>
      </c>
      <c r="E576" s="2" t="s">
        <v>29</v>
      </c>
      <c r="G576" s="2" t="str">
        <f>IFERROR(VLOOKUP(F576,Picks!$A$2:$B$231,2,0),"")</f>
        <v/>
      </c>
      <c r="I576" s="4"/>
      <c r="J576" s="4"/>
      <c r="K576" s="4"/>
      <c r="L576" s="4"/>
      <c r="O576" s="4"/>
      <c r="P576" s="4"/>
      <c r="Q576" s="4"/>
      <c r="R576" s="4"/>
      <c r="W576" s="4"/>
      <c r="X576" s="4"/>
      <c r="Y576" s="4"/>
      <c r="Z576" s="4"/>
    </row>
    <row r="577" spans="1:26" x14ac:dyDescent="0.2">
      <c r="A577" s="2">
        <v>84927</v>
      </c>
      <c r="B577" s="2" t="s">
        <v>618</v>
      </c>
      <c r="C577" s="2" t="s">
        <v>150</v>
      </c>
      <c r="D577" s="2" t="s">
        <v>118</v>
      </c>
      <c r="E577" s="2" t="s">
        <v>29</v>
      </c>
      <c r="G577" s="2" t="str">
        <f>IFERROR(VLOOKUP(F577,Picks!$A$2:$B$231,2,0),"")</f>
        <v/>
      </c>
      <c r="I577" s="4"/>
      <c r="J577" s="4"/>
      <c r="K577" s="4"/>
      <c r="L577" s="4"/>
      <c r="O577" s="4"/>
      <c r="P577" s="4"/>
      <c r="Q577" s="4"/>
      <c r="R577" s="4"/>
      <c r="W577" s="4"/>
      <c r="X577" s="4"/>
      <c r="Y577" s="4"/>
      <c r="Z577" s="4"/>
    </row>
    <row r="578" spans="1:26" x14ac:dyDescent="0.2">
      <c r="A578" s="2">
        <v>125746</v>
      </c>
      <c r="B578" s="2" t="s">
        <v>618</v>
      </c>
      <c r="C578" s="2" t="s">
        <v>68</v>
      </c>
      <c r="D578" s="2" t="s">
        <v>43</v>
      </c>
      <c r="E578" s="2" t="s">
        <v>29</v>
      </c>
      <c r="G578" s="2" t="str">
        <f>IFERROR(VLOOKUP(F578,Picks!$A$2:$B$231,2,0),"")</f>
        <v/>
      </c>
      <c r="I578" s="4"/>
      <c r="J578" s="4"/>
      <c r="K578" s="4"/>
      <c r="L578" s="4"/>
      <c r="O578" s="4"/>
      <c r="P578" s="4"/>
      <c r="Q578" s="4"/>
      <c r="R578" s="4"/>
      <c r="W578" s="4"/>
      <c r="X578" s="4"/>
      <c r="Y578" s="4"/>
      <c r="Z578" s="4"/>
    </row>
    <row r="579" spans="1:26" x14ac:dyDescent="0.2">
      <c r="A579" s="2">
        <v>130620</v>
      </c>
      <c r="B579" s="2" t="s">
        <v>618</v>
      </c>
      <c r="C579" s="2" t="s">
        <v>55</v>
      </c>
      <c r="D579" s="2" t="s">
        <v>33</v>
      </c>
      <c r="E579" s="2" t="s">
        <v>29</v>
      </c>
      <c r="G579" s="2" t="str">
        <f>IFERROR(VLOOKUP(F579,Picks!$A$2:$B$231,2,0),"")</f>
        <v/>
      </c>
      <c r="I579" s="4"/>
      <c r="J579" s="4"/>
      <c r="K579" s="4"/>
      <c r="L579" s="4"/>
      <c r="O579" s="4"/>
      <c r="P579" s="4"/>
      <c r="Q579" s="4"/>
      <c r="R579" s="4"/>
      <c r="W579" s="4"/>
      <c r="X579" s="4"/>
      <c r="Y579" s="4"/>
      <c r="Z579" s="4"/>
    </row>
    <row r="580" spans="1:26" x14ac:dyDescent="0.2">
      <c r="A580" s="2">
        <v>145609</v>
      </c>
      <c r="B580" s="2" t="s">
        <v>618</v>
      </c>
      <c r="C580" s="2" t="s">
        <v>606</v>
      </c>
      <c r="D580" s="2" t="s">
        <v>43</v>
      </c>
      <c r="E580" s="2" t="s">
        <v>29</v>
      </c>
      <c r="G580" s="2" t="str">
        <f>IFERROR(VLOOKUP(F580,Picks!$A$2:$B$231,2,0),"")</f>
        <v/>
      </c>
      <c r="I580" s="4"/>
      <c r="J580" s="4"/>
      <c r="K580" s="4"/>
      <c r="L580" s="4"/>
      <c r="O580" s="4"/>
      <c r="P580" s="4"/>
      <c r="Q580" s="4"/>
      <c r="R580" s="4"/>
      <c r="W580" s="4"/>
      <c r="X580" s="4"/>
      <c r="Y580" s="4"/>
      <c r="Z580" s="4"/>
    </row>
    <row r="581" spans="1:26" x14ac:dyDescent="0.2">
      <c r="A581" s="2">
        <v>129317</v>
      </c>
      <c r="B581" s="2" t="s">
        <v>618</v>
      </c>
      <c r="C581" s="2" t="s">
        <v>532</v>
      </c>
      <c r="D581" s="2" t="s">
        <v>33</v>
      </c>
      <c r="E581" s="2" t="s">
        <v>29</v>
      </c>
      <c r="G581" s="2" t="str">
        <f>IFERROR(VLOOKUP(F581,Picks!$A$2:$B$231,2,0),"")</f>
        <v/>
      </c>
      <c r="I581" s="4"/>
      <c r="J581" s="4"/>
      <c r="K581" s="4"/>
      <c r="L581" s="4"/>
      <c r="O581" s="4"/>
      <c r="P581" s="4"/>
      <c r="Q581" s="4"/>
      <c r="R581" s="4"/>
      <c r="W581" s="4"/>
      <c r="X581" s="4"/>
      <c r="Y581" s="4"/>
      <c r="Z581" s="4"/>
    </row>
    <row r="582" spans="1:26" x14ac:dyDescent="0.2">
      <c r="A582" s="2">
        <v>127970</v>
      </c>
      <c r="B582" s="2" t="s">
        <v>618</v>
      </c>
      <c r="C582" s="2" t="s">
        <v>527</v>
      </c>
      <c r="D582" s="2" t="s">
        <v>43</v>
      </c>
      <c r="E582" s="2" t="s">
        <v>29</v>
      </c>
      <c r="G582" s="2" t="str">
        <f>IFERROR(VLOOKUP(F582,Picks!$A$2:$B$231,2,0),"")</f>
        <v/>
      </c>
      <c r="I582" s="4"/>
      <c r="J582" s="4"/>
      <c r="K582" s="4"/>
      <c r="L582" s="4"/>
      <c r="O582" s="4"/>
      <c r="P582" s="4"/>
      <c r="Q582" s="4"/>
      <c r="R582" s="4"/>
      <c r="W582" s="4"/>
      <c r="X582" s="4"/>
      <c r="Y582" s="4"/>
      <c r="Z582" s="4"/>
    </row>
    <row r="583" spans="1:26" x14ac:dyDescent="0.2">
      <c r="A583" s="2">
        <v>124674</v>
      </c>
      <c r="B583" s="2" t="s">
        <v>618</v>
      </c>
      <c r="C583" s="2" t="s">
        <v>515</v>
      </c>
      <c r="D583" s="2" t="s">
        <v>52</v>
      </c>
      <c r="E583" s="2" t="s">
        <v>29</v>
      </c>
      <c r="G583" s="2" t="str">
        <f>IFERROR(VLOOKUP(F583,Picks!$A$2:$B$231,2,0),"")</f>
        <v/>
      </c>
      <c r="I583" s="4"/>
      <c r="J583" s="4"/>
      <c r="K583" s="4"/>
      <c r="L583" s="4"/>
      <c r="O583" s="4"/>
      <c r="P583" s="4"/>
      <c r="Q583" s="4"/>
      <c r="R583" s="4"/>
      <c r="W583" s="4"/>
      <c r="X583" s="4"/>
      <c r="Y583" s="4"/>
      <c r="Z583" s="4"/>
    </row>
    <row r="584" spans="1:26" x14ac:dyDescent="0.2">
      <c r="A584" s="2">
        <v>108671</v>
      </c>
      <c r="B584" s="2" t="s">
        <v>618</v>
      </c>
      <c r="C584" s="2" t="s">
        <v>395</v>
      </c>
      <c r="D584" s="2" t="s">
        <v>67</v>
      </c>
      <c r="E584" s="2" t="s">
        <v>29</v>
      </c>
      <c r="G584" s="2" t="str">
        <f>IFERROR(VLOOKUP(F584,Picks!$A$2:$B$231,2,0),"")</f>
        <v/>
      </c>
      <c r="I584" s="4"/>
      <c r="J584" s="4"/>
      <c r="K584" s="4"/>
      <c r="L584" s="4"/>
      <c r="O584" s="4"/>
      <c r="P584" s="4"/>
      <c r="Q584" s="4"/>
      <c r="R584" s="4"/>
      <c r="W584" s="4"/>
      <c r="X584" s="4"/>
      <c r="Y584" s="4"/>
      <c r="Z584" s="4"/>
    </row>
    <row r="585" spans="1:26" x14ac:dyDescent="0.2">
      <c r="A585" s="2">
        <v>97735</v>
      </c>
      <c r="B585" s="2" t="s">
        <v>618</v>
      </c>
      <c r="C585" s="2" t="s">
        <v>258</v>
      </c>
      <c r="D585" s="2" t="s">
        <v>118</v>
      </c>
      <c r="E585" s="2" t="s">
        <v>29</v>
      </c>
      <c r="G585" s="2" t="str">
        <f>IFERROR(VLOOKUP(F585,Picks!$A$2:$B$231,2,0),"")</f>
        <v/>
      </c>
      <c r="I585" s="4"/>
      <c r="J585" s="4"/>
      <c r="K585" s="4"/>
      <c r="L585" s="4"/>
      <c r="O585" s="4"/>
      <c r="P585" s="4"/>
      <c r="Q585" s="4"/>
      <c r="R585" s="4"/>
      <c r="W585" s="4"/>
      <c r="X585" s="4"/>
      <c r="Y585" s="4"/>
      <c r="Z585" s="4"/>
    </row>
    <row r="586" spans="1:26" x14ac:dyDescent="0.2">
      <c r="A586" s="2">
        <v>51548</v>
      </c>
      <c r="B586" s="2" t="s">
        <v>618</v>
      </c>
      <c r="C586" s="2" t="s">
        <v>42</v>
      </c>
      <c r="D586" s="2" t="s">
        <v>43</v>
      </c>
      <c r="E586" s="2" t="s">
        <v>29</v>
      </c>
      <c r="G586" s="2" t="str">
        <f>IFERROR(VLOOKUP(F586,Picks!$A$2:$B$231,2,0),"")</f>
        <v/>
      </c>
      <c r="I586" s="4"/>
      <c r="J586" s="4"/>
      <c r="K586" s="4"/>
      <c r="L586" s="4"/>
      <c r="O586" s="4"/>
      <c r="P586" s="4"/>
      <c r="Q586" s="4"/>
      <c r="R586" s="4"/>
      <c r="W586" s="4"/>
      <c r="X586" s="4"/>
      <c r="Y586" s="4"/>
      <c r="Z586" s="4"/>
    </row>
    <row r="587" spans="1:26" x14ac:dyDescent="0.2">
      <c r="A587" s="2">
        <v>130255</v>
      </c>
      <c r="B587" s="2" t="s">
        <v>618</v>
      </c>
      <c r="C587" s="2" t="s">
        <v>536</v>
      </c>
      <c r="D587" s="2" t="s">
        <v>67</v>
      </c>
      <c r="E587" s="2" t="s">
        <v>29</v>
      </c>
      <c r="G587" s="2" t="str">
        <f>IFERROR(VLOOKUP(F587,Picks!$A$2:$B$231,2,0),"")</f>
        <v/>
      </c>
      <c r="I587" s="4"/>
      <c r="J587" s="4"/>
      <c r="K587" s="4"/>
      <c r="L587" s="4"/>
      <c r="O587" s="4"/>
      <c r="P587" s="4"/>
      <c r="Q587" s="4"/>
      <c r="R587" s="4"/>
      <c r="W587" s="4"/>
      <c r="X587" s="4"/>
      <c r="Y587" s="4"/>
      <c r="Z587" s="4"/>
    </row>
    <row r="588" spans="1:26" x14ac:dyDescent="0.2">
      <c r="A588" s="2">
        <v>130382</v>
      </c>
      <c r="B588" s="2" t="s">
        <v>618</v>
      </c>
      <c r="C588" s="2" t="s">
        <v>539</v>
      </c>
      <c r="D588" s="2" t="s">
        <v>47</v>
      </c>
      <c r="E588" s="2" t="s">
        <v>29</v>
      </c>
      <c r="G588" s="2" t="str">
        <f>IFERROR(VLOOKUP(F588,Picks!$A$2:$B$231,2,0),"")</f>
        <v/>
      </c>
      <c r="I588" s="4"/>
      <c r="J588" s="4"/>
      <c r="K588" s="4"/>
      <c r="L588" s="4"/>
      <c r="O588" s="4"/>
      <c r="P588" s="4"/>
      <c r="Q588" s="4"/>
      <c r="R588" s="4"/>
      <c r="W588" s="4"/>
      <c r="X588" s="4"/>
      <c r="Y588" s="4"/>
      <c r="Z588" s="4"/>
    </row>
    <row r="589" spans="1:26" x14ac:dyDescent="0.2">
      <c r="A589" s="2">
        <v>141776</v>
      </c>
      <c r="B589" s="2" t="s">
        <v>618</v>
      </c>
      <c r="C589" s="2" t="s">
        <v>104</v>
      </c>
      <c r="D589" s="2" t="s">
        <v>50</v>
      </c>
      <c r="E589" s="2" t="s">
        <v>29</v>
      </c>
      <c r="G589" s="2" t="str">
        <f>IFERROR(VLOOKUP(F589,Picks!$A$2:$B$231,2,0),"")</f>
        <v/>
      </c>
      <c r="I589" s="4"/>
      <c r="J589" s="4"/>
      <c r="K589" s="4"/>
      <c r="L589" s="4"/>
      <c r="O589" s="4"/>
      <c r="P589" s="4"/>
      <c r="Q589" s="4"/>
      <c r="R589" s="4"/>
      <c r="W589" s="4"/>
      <c r="X589" s="4"/>
      <c r="Y589" s="4"/>
      <c r="Z589" s="4"/>
    </row>
    <row r="590" spans="1:26" x14ac:dyDescent="0.2">
      <c r="A590" s="2">
        <v>132274</v>
      </c>
      <c r="B590" s="2" t="s">
        <v>618</v>
      </c>
      <c r="C590" s="2" t="s">
        <v>557</v>
      </c>
      <c r="D590" s="2" t="s">
        <v>77</v>
      </c>
      <c r="E590" s="2" t="s">
        <v>29</v>
      </c>
      <c r="G590" s="2" t="str">
        <f>IFERROR(VLOOKUP(F590,Picks!$A$2:$B$231,2,0),"")</f>
        <v/>
      </c>
      <c r="I590" s="4"/>
      <c r="J590" s="4"/>
      <c r="K590" s="4"/>
      <c r="L590" s="4"/>
      <c r="O590" s="4"/>
      <c r="P590" s="4"/>
      <c r="Q590" s="4"/>
      <c r="R590" s="4"/>
      <c r="W590" s="4"/>
      <c r="X590" s="4"/>
      <c r="Y590" s="4"/>
      <c r="Z590" s="4"/>
    </row>
    <row r="591" spans="1:26" x14ac:dyDescent="0.2">
      <c r="A591" s="2">
        <v>81091</v>
      </c>
      <c r="B591" s="2" t="s">
        <v>618</v>
      </c>
      <c r="C591" s="2" t="s">
        <v>123</v>
      </c>
      <c r="D591" s="2" t="s">
        <v>67</v>
      </c>
      <c r="E591" s="2" t="s">
        <v>29</v>
      </c>
      <c r="G591" s="2" t="str">
        <f>IFERROR(VLOOKUP(F591,Picks!$A$2:$B$231,2,0),"")</f>
        <v/>
      </c>
      <c r="I591" s="4"/>
      <c r="J591" s="4"/>
      <c r="K591" s="4"/>
      <c r="L591" s="4"/>
      <c r="O591" s="4"/>
      <c r="P591" s="4"/>
      <c r="Q591" s="4"/>
      <c r="R591" s="4"/>
      <c r="W591" s="4"/>
      <c r="X591" s="4"/>
      <c r="Y591" s="4"/>
      <c r="Z591" s="4"/>
    </row>
    <row r="592" spans="1:26" x14ac:dyDescent="0.2">
      <c r="A592" s="2">
        <v>122660</v>
      </c>
      <c r="B592" s="2" t="s">
        <v>618</v>
      </c>
      <c r="C592" s="2" t="s">
        <v>494</v>
      </c>
      <c r="D592" s="2" t="s">
        <v>35</v>
      </c>
      <c r="E592" s="2" t="s">
        <v>29</v>
      </c>
      <c r="G592" s="2" t="str">
        <f>IFERROR(VLOOKUP(F592,Picks!$A$2:$B$231,2,0),"")</f>
        <v/>
      </c>
      <c r="I592" s="4"/>
      <c r="J592" s="4"/>
      <c r="K592" s="4"/>
      <c r="L592" s="4"/>
      <c r="O592" s="4"/>
      <c r="P592" s="4"/>
      <c r="Q592" s="4"/>
      <c r="R592" s="4"/>
      <c r="W592" s="4"/>
      <c r="X592" s="4"/>
      <c r="Y592" s="4"/>
      <c r="Z592" s="4"/>
    </row>
    <row r="593" spans="1:26" x14ac:dyDescent="0.2">
      <c r="A593" s="2">
        <v>125551</v>
      </c>
      <c r="B593" s="2" t="s">
        <v>618</v>
      </c>
      <c r="C593" s="2" t="s">
        <v>520</v>
      </c>
      <c r="D593" s="2" t="s">
        <v>39</v>
      </c>
      <c r="E593" s="2" t="s">
        <v>29</v>
      </c>
      <c r="G593" s="2" t="str">
        <f>IFERROR(VLOOKUP(F593,Picks!$A$2:$B$231,2,0),"")</f>
        <v/>
      </c>
      <c r="I593" s="4"/>
      <c r="J593" s="4"/>
      <c r="K593" s="4"/>
      <c r="L593" s="4"/>
      <c r="O593" s="4"/>
      <c r="P593" s="4"/>
      <c r="Q593" s="4"/>
      <c r="R593" s="4"/>
      <c r="W593" s="4"/>
      <c r="X593" s="4"/>
      <c r="Y593" s="4"/>
      <c r="Z593" s="4"/>
    </row>
    <row r="594" spans="1:26" x14ac:dyDescent="0.2">
      <c r="A594" s="2">
        <v>128431</v>
      </c>
      <c r="B594" s="2" t="s">
        <v>618</v>
      </c>
      <c r="C594" s="2" t="s">
        <v>530</v>
      </c>
      <c r="D594" s="2" t="s">
        <v>43</v>
      </c>
      <c r="E594" s="2" t="s">
        <v>29</v>
      </c>
      <c r="G594" s="2" t="str">
        <f>IFERROR(VLOOKUP(F594,Picks!$A$2:$B$231,2,0),"")</f>
        <v/>
      </c>
      <c r="I594" s="4"/>
      <c r="J594" s="4"/>
      <c r="K594" s="4"/>
      <c r="L594" s="4"/>
      <c r="O594" s="4"/>
      <c r="P594" s="4"/>
      <c r="Q594" s="4"/>
      <c r="R594" s="4"/>
      <c r="W594" s="4"/>
      <c r="X594" s="4"/>
      <c r="Y594" s="4"/>
      <c r="Z594" s="4"/>
    </row>
    <row r="595" spans="1:26" x14ac:dyDescent="0.2">
      <c r="A595" s="2">
        <v>122138</v>
      </c>
      <c r="B595" s="2" t="s">
        <v>618</v>
      </c>
      <c r="C595" s="2" t="s">
        <v>482</v>
      </c>
      <c r="D595" s="2" t="s">
        <v>63</v>
      </c>
      <c r="E595" s="2" t="s">
        <v>29</v>
      </c>
      <c r="G595" s="2" t="str">
        <f>IFERROR(VLOOKUP(F595,Picks!$A$2:$B$231,2,0),"")</f>
        <v/>
      </c>
      <c r="I595" s="4"/>
      <c r="J595" s="4"/>
      <c r="K595" s="4"/>
      <c r="L595" s="4"/>
      <c r="O595" s="4"/>
      <c r="P595" s="4"/>
      <c r="Q595" s="4"/>
      <c r="R595" s="4"/>
      <c r="W595" s="4"/>
      <c r="X595" s="4"/>
      <c r="Y595" s="4"/>
      <c r="Z595" s="4"/>
    </row>
    <row r="596" spans="1:26" x14ac:dyDescent="0.2">
      <c r="A596" s="2">
        <v>128433</v>
      </c>
      <c r="B596" s="2" t="s">
        <v>618</v>
      </c>
      <c r="C596" s="2" t="s">
        <v>531</v>
      </c>
      <c r="D596" s="2" t="s">
        <v>67</v>
      </c>
      <c r="E596" s="2" t="s">
        <v>29</v>
      </c>
      <c r="G596" s="2" t="str">
        <f>IFERROR(VLOOKUP(F596,Picks!$A$2:$B$231,2,0),"")</f>
        <v/>
      </c>
      <c r="I596" s="4"/>
      <c r="J596" s="4"/>
      <c r="K596" s="4"/>
      <c r="L596" s="4"/>
      <c r="O596" s="4"/>
      <c r="P596" s="4"/>
      <c r="Q596" s="4"/>
      <c r="R596" s="4"/>
      <c r="W596" s="4"/>
      <c r="X596" s="4"/>
      <c r="Y596" s="4"/>
      <c r="Z596" s="4"/>
    </row>
    <row r="597" spans="1:26" x14ac:dyDescent="0.2">
      <c r="A597" s="2">
        <v>143295</v>
      </c>
      <c r="B597" s="2" t="s">
        <v>618</v>
      </c>
      <c r="C597" s="2" t="s">
        <v>595</v>
      </c>
      <c r="D597" s="2" t="s">
        <v>47</v>
      </c>
      <c r="E597" s="2" t="s">
        <v>29</v>
      </c>
      <c r="G597" s="2" t="str">
        <f>IFERROR(VLOOKUP(F597,Picks!$A$2:$B$231,2,0),"")</f>
        <v/>
      </c>
      <c r="I597" s="4"/>
      <c r="J597" s="4"/>
      <c r="K597" s="4"/>
      <c r="L597" s="4"/>
      <c r="O597" s="4"/>
      <c r="P597" s="4"/>
      <c r="Q597" s="4"/>
      <c r="R597" s="4"/>
      <c r="W597" s="4"/>
      <c r="X597" s="4"/>
      <c r="Y597" s="4"/>
      <c r="Z597" s="4"/>
    </row>
    <row r="598" spans="1:26" x14ac:dyDescent="0.2">
      <c r="A598" s="2">
        <v>136156</v>
      </c>
      <c r="B598" s="2" t="s">
        <v>618</v>
      </c>
      <c r="C598" s="2" t="s">
        <v>566</v>
      </c>
      <c r="D598" s="2" t="s">
        <v>65</v>
      </c>
      <c r="E598" s="2" t="s">
        <v>29</v>
      </c>
      <c r="G598" s="2" t="str">
        <f>IFERROR(VLOOKUP(F598,Picks!$A$2:$B$231,2,0),"")</f>
        <v/>
      </c>
      <c r="I598" s="4"/>
      <c r="J598" s="4"/>
      <c r="K598" s="4"/>
      <c r="L598" s="4"/>
      <c r="O598" s="4"/>
      <c r="P598" s="4"/>
      <c r="Q598" s="4"/>
      <c r="R598" s="4"/>
      <c r="W598" s="4"/>
      <c r="X598" s="4"/>
      <c r="Y598" s="4"/>
      <c r="Z598" s="4"/>
    </row>
    <row r="599" spans="1:26" x14ac:dyDescent="0.2">
      <c r="A599" s="2">
        <v>123788</v>
      </c>
      <c r="B599" s="2" t="s">
        <v>618</v>
      </c>
      <c r="C599" s="2" t="s">
        <v>508</v>
      </c>
      <c r="D599" s="2" t="s">
        <v>23</v>
      </c>
      <c r="E599" s="2" t="s">
        <v>29</v>
      </c>
      <c r="G599" s="2" t="str">
        <f>IFERROR(VLOOKUP(F599,Picks!$A$2:$B$231,2,0),"")</f>
        <v/>
      </c>
      <c r="I599" s="4"/>
      <c r="J599" s="4"/>
      <c r="K599" s="4"/>
      <c r="L599" s="4"/>
      <c r="O599" s="4"/>
      <c r="P599" s="4"/>
      <c r="Q599" s="4"/>
      <c r="R599" s="4"/>
      <c r="W599" s="4"/>
      <c r="X599" s="4"/>
      <c r="Y599" s="4"/>
      <c r="Z599" s="4"/>
    </row>
    <row r="600" spans="1:26" x14ac:dyDescent="0.2">
      <c r="A600" s="2">
        <v>126120</v>
      </c>
      <c r="B600" s="2" t="s">
        <v>618</v>
      </c>
      <c r="C600" s="2" t="s">
        <v>259</v>
      </c>
      <c r="D600" s="2" t="s">
        <v>77</v>
      </c>
      <c r="E600" s="2" t="s">
        <v>29</v>
      </c>
      <c r="G600" s="2" t="str">
        <f>IFERROR(VLOOKUP(F600,Picks!$A$2:$B$231,2,0),"")</f>
        <v/>
      </c>
      <c r="I600" s="4"/>
      <c r="J600" s="4"/>
      <c r="K600" s="4"/>
      <c r="L600" s="4"/>
      <c r="O600" s="4"/>
      <c r="P600" s="4"/>
      <c r="Q600" s="4"/>
      <c r="R600" s="4"/>
      <c r="W600" s="4"/>
      <c r="X600" s="4"/>
      <c r="Y600" s="4"/>
      <c r="Z600" s="4"/>
    </row>
    <row r="601" spans="1:26" x14ac:dyDescent="0.2">
      <c r="A601" s="2">
        <v>130283</v>
      </c>
      <c r="B601" s="2" t="s">
        <v>618</v>
      </c>
      <c r="C601" s="2" t="s">
        <v>538</v>
      </c>
      <c r="D601" s="2" t="s">
        <v>39</v>
      </c>
      <c r="E601" s="2" t="s">
        <v>29</v>
      </c>
      <c r="G601" s="2" t="str">
        <f>IFERROR(VLOOKUP(F601,Picks!$A$2:$B$231,2,0),"")</f>
        <v/>
      </c>
      <c r="I601" s="4"/>
      <c r="J601" s="4"/>
      <c r="K601" s="4"/>
      <c r="L601" s="4"/>
      <c r="O601" s="4"/>
      <c r="P601" s="4"/>
      <c r="Q601" s="4"/>
      <c r="R601" s="4"/>
      <c r="W601" s="4"/>
      <c r="X601" s="4"/>
      <c r="Y601" s="4"/>
      <c r="Z601" s="4"/>
    </row>
    <row r="602" spans="1:26" x14ac:dyDescent="0.2">
      <c r="A602" s="2">
        <v>143350</v>
      </c>
      <c r="B602" s="2" t="s">
        <v>618</v>
      </c>
      <c r="C602" s="2" t="s">
        <v>596</v>
      </c>
      <c r="D602" s="2" t="s">
        <v>35</v>
      </c>
      <c r="E602" s="2" t="s">
        <v>29</v>
      </c>
      <c r="G602" s="2" t="str">
        <f>IFERROR(VLOOKUP(F602,Picks!$A$2:$B$231,2,0),"")</f>
        <v/>
      </c>
      <c r="I602" s="4"/>
      <c r="J602" s="4"/>
      <c r="K602" s="4"/>
      <c r="L602" s="4"/>
      <c r="O602" s="4"/>
      <c r="P602" s="4"/>
      <c r="Q602" s="4"/>
      <c r="R602" s="4"/>
      <c r="W602" s="4"/>
      <c r="X602" s="4"/>
      <c r="Y602" s="4"/>
      <c r="Z602" s="4"/>
    </row>
    <row r="603" spans="1:26" x14ac:dyDescent="0.2">
      <c r="A603" s="2">
        <v>118175</v>
      </c>
      <c r="B603" s="2" t="s">
        <v>618</v>
      </c>
      <c r="C603" s="2" t="s">
        <v>472</v>
      </c>
      <c r="D603" s="2" t="s">
        <v>77</v>
      </c>
      <c r="E603" s="2" t="s">
        <v>29</v>
      </c>
      <c r="G603" s="2" t="str">
        <f>IFERROR(VLOOKUP(F603,Picks!$A$2:$B$231,2,0),"")</f>
        <v/>
      </c>
      <c r="I603" s="4"/>
      <c r="J603" s="4"/>
      <c r="K603" s="4"/>
      <c r="L603" s="4"/>
      <c r="O603" s="4"/>
      <c r="P603" s="4"/>
      <c r="Q603" s="4"/>
      <c r="R603" s="4"/>
      <c r="W603" s="4"/>
      <c r="X603" s="4"/>
      <c r="Y603" s="4"/>
      <c r="Z603" s="4"/>
    </row>
    <row r="604" spans="1:26" x14ac:dyDescent="0.2">
      <c r="A604" s="2">
        <v>82463</v>
      </c>
      <c r="B604" s="2" t="s">
        <v>618</v>
      </c>
      <c r="C604" s="2" t="s">
        <v>129</v>
      </c>
      <c r="D604" s="2" t="s">
        <v>23</v>
      </c>
      <c r="E604" s="2" t="s">
        <v>29</v>
      </c>
      <c r="G604" s="2" t="str">
        <f>IFERROR(VLOOKUP(F604,Picks!$A$2:$B$231,2,0),"")</f>
        <v/>
      </c>
      <c r="I604" s="4"/>
      <c r="J604" s="4"/>
      <c r="K604" s="4"/>
      <c r="L604" s="4"/>
      <c r="O604" s="4"/>
      <c r="P604" s="4"/>
      <c r="Q604" s="4"/>
      <c r="R604" s="4"/>
      <c r="W604" s="4"/>
      <c r="X604" s="4"/>
      <c r="Y604" s="4"/>
      <c r="Z604" s="4"/>
    </row>
    <row r="605" spans="1:26" x14ac:dyDescent="0.2">
      <c r="A605" s="2">
        <v>84708</v>
      </c>
      <c r="B605" s="2" t="s">
        <v>618</v>
      </c>
      <c r="C605" s="2" t="s">
        <v>146</v>
      </c>
      <c r="D605" s="2" t="s">
        <v>118</v>
      </c>
      <c r="E605" s="2" t="s">
        <v>29</v>
      </c>
      <c r="G605" s="2" t="str">
        <f>IFERROR(VLOOKUP(F605,Picks!$A$2:$B$231,2,0),"")</f>
        <v/>
      </c>
      <c r="I605" s="4"/>
      <c r="J605" s="4"/>
      <c r="K605" s="4"/>
      <c r="L605" s="4"/>
      <c r="O605" s="4"/>
      <c r="P605" s="4"/>
      <c r="Q605" s="4"/>
      <c r="R605" s="4"/>
      <c r="W605" s="4"/>
      <c r="X605" s="4"/>
      <c r="Y605" s="4"/>
      <c r="Z605" s="4"/>
    </row>
    <row r="606" spans="1:26" x14ac:dyDescent="0.2">
      <c r="A606" s="2">
        <v>122990</v>
      </c>
      <c r="B606" s="2" t="s">
        <v>618</v>
      </c>
      <c r="C606" s="2" t="s">
        <v>498</v>
      </c>
      <c r="D606" s="2" t="s">
        <v>26</v>
      </c>
      <c r="E606" s="2" t="s">
        <v>29</v>
      </c>
      <c r="G606" s="2" t="str">
        <f>IFERROR(VLOOKUP(F606,Picks!$A$2:$B$231,2,0),"")</f>
        <v/>
      </c>
      <c r="I606" s="4"/>
      <c r="J606" s="4"/>
      <c r="K606" s="4"/>
      <c r="L606" s="4"/>
      <c r="O606" s="4"/>
      <c r="P606" s="4"/>
      <c r="Q606" s="4"/>
      <c r="R606" s="4"/>
      <c r="W606" s="4"/>
      <c r="X606" s="4"/>
      <c r="Y606" s="4"/>
      <c r="Z606" s="4"/>
    </row>
    <row r="607" spans="1:26" x14ac:dyDescent="0.2">
      <c r="A607" s="2">
        <v>143455</v>
      </c>
      <c r="B607" s="2" t="s">
        <v>618</v>
      </c>
      <c r="C607" s="2" t="s">
        <v>597</v>
      </c>
      <c r="D607" s="2" t="s">
        <v>118</v>
      </c>
      <c r="E607" s="2" t="s">
        <v>29</v>
      </c>
      <c r="G607" s="2" t="str">
        <f>IFERROR(VLOOKUP(F607,Picks!$A$2:$B$231,2,0),"")</f>
        <v/>
      </c>
      <c r="I607" s="4"/>
      <c r="J607" s="4"/>
      <c r="K607" s="4"/>
      <c r="L607" s="4"/>
      <c r="O607" s="4"/>
      <c r="P607" s="4"/>
      <c r="Q607" s="4"/>
      <c r="R607" s="4"/>
      <c r="W607" s="4"/>
      <c r="X607" s="4"/>
      <c r="Y607" s="4"/>
      <c r="Z607" s="4"/>
    </row>
    <row r="608" spans="1:26" x14ac:dyDescent="0.2">
      <c r="A608" s="2">
        <v>92496</v>
      </c>
      <c r="B608" s="2" t="s">
        <v>618</v>
      </c>
      <c r="C608" s="2" t="s">
        <v>216</v>
      </c>
      <c r="D608" s="2" t="s">
        <v>43</v>
      </c>
      <c r="E608" s="2" t="s">
        <v>29</v>
      </c>
      <c r="G608" s="2" t="str">
        <f>IFERROR(VLOOKUP(F608,Picks!$A$2:$B$231,2,0),"")</f>
        <v/>
      </c>
      <c r="I608" s="4"/>
      <c r="J608" s="4"/>
      <c r="K608" s="4"/>
      <c r="L608" s="4"/>
      <c r="O608" s="4"/>
      <c r="P608" s="4"/>
      <c r="Q608" s="4"/>
      <c r="R608" s="4"/>
      <c r="W608" s="4"/>
      <c r="X608" s="4"/>
      <c r="Y608" s="4"/>
      <c r="Z608" s="4"/>
    </row>
    <row r="609" spans="1:26" x14ac:dyDescent="0.2">
      <c r="A609" s="2">
        <v>90449</v>
      </c>
      <c r="B609" s="2" t="s">
        <v>618</v>
      </c>
      <c r="C609" s="2" t="s">
        <v>193</v>
      </c>
      <c r="D609" s="2" t="s">
        <v>45</v>
      </c>
      <c r="E609" s="2" t="s">
        <v>29</v>
      </c>
      <c r="G609" s="2" t="str">
        <f>IFERROR(VLOOKUP(F609,Picks!$A$2:$B$231,2,0),"")</f>
        <v/>
      </c>
      <c r="I609" s="4"/>
      <c r="J609" s="4"/>
      <c r="K609" s="4"/>
      <c r="L609" s="4"/>
      <c r="O609" s="4"/>
      <c r="P609" s="4"/>
      <c r="Q609" s="4"/>
      <c r="R609" s="4"/>
      <c r="W609" s="4"/>
      <c r="X609" s="4"/>
      <c r="Y609" s="4"/>
      <c r="Z609" s="4"/>
    </row>
    <row r="610" spans="1:26" x14ac:dyDescent="0.2">
      <c r="A610" s="2">
        <v>146991</v>
      </c>
      <c r="B610" s="2" t="s">
        <v>618</v>
      </c>
      <c r="C610" s="2" t="s">
        <v>612</v>
      </c>
      <c r="D610" s="2" t="s">
        <v>35</v>
      </c>
      <c r="E610" s="2" t="s">
        <v>29</v>
      </c>
      <c r="G610" s="2" t="str">
        <f>IFERROR(VLOOKUP(F610,Picks!$A$2:$B$231,2,0),"")</f>
        <v/>
      </c>
      <c r="I610" s="4"/>
      <c r="J610" s="4"/>
      <c r="K610" s="4"/>
      <c r="L610" s="4"/>
      <c r="O610" s="4"/>
      <c r="P610" s="4"/>
      <c r="Q610" s="4"/>
      <c r="R610" s="4"/>
      <c r="W610" s="4"/>
      <c r="X610" s="4"/>
      <c r="Y610" s="4"/>
      <c r="Z610" s="4"/>
    </row>
    <row r="611" spans="1:26" x14ac:dyDescent="0.2">
      <c r="A611" s="2">
        <v>86711</v>
      </c>
      <c r="B611" s="2" t="s">
        <v>618</v>
      </c>
      <c r="C611" s="2" t="s">
        <v>160</v>
      </c>
      <c r="D611" s="2" t="s">
        <v>58</v>
      </c>
      <c r="E611" s="2" t="s">
        <v>29</v>
      </c>
      <c r="G611" s="2" t="str">
        <f>IFERROR(VLOOKUP(F611,Picks!$A$2:$B$231,2,0),"")</f>
        <v/>
      </c>
      <c r="I611" s="4"/>
      <c r="J611" s="4"/>
      <c r="K611" s="4"/>
      <c r="L611" s="4"/>
      <c r="O611" s="4"/>
      <c r="P611" s="4"/>
      <c r="Q611" s="4"/>
      <c r="R611" s="4"/>
      <c r="W611" s="4"/>
      <c r="X611" s="4"/>
      <c r="Y611" s="4"/>
      <c r="Z611" s="4"/>
    </row>
    <row r="612" spans="1:26" x14ac:dyDescent="0.2">
      <c r="A612" s="2">
        <v>130414</v>
      </c>
      <c r="B612" s="2" t="s">
        <v>618</v>
      </c>
      <c r="C612" s="2" t="s">
        <v>540</v>
      </c>
      <c r="D612" s="2" t="s">
        <v>63</v>
      </c>
      <c r="E612" s="2" t="s">
        <v>29</v>
      </c>
      <c r="G612" s="2" t="str">
        <f>IFERROR(VLOOKUP(F612,Picks!$A$2:$B$231,2,0),"")</f>
        <v/>
      </c>
      <c r="I612" s="4"/>
      <c r="J612" s="4"/>
      <c r="K612" s="4"/>
      <c r="L612" s="4"/>
      <c r="O612" s="4"/>
      <c r="P612" s="4"/>
      <c r="Q612" s="4"/>
      <c r="R612" s="4"/>
      <c r="W612" s="4"/>
      <c r="X612" s="4"/>
      <c r="Y612" s="4"/>
      <c r="Z612" s="4"/>
    </row>
    <row r="613" spans="1:26" x14ac:dyDescent="0.2">
      <c r="A613" s="2">
        <v>115563</v>
      </c>
      <c r="B613" s="2" t="s">
        <v>618</v>
      </c>
      <c r="C613" s="2" t="s">
        <v>454</v>
      </c>
      <c r="D613" s="2" t="s">
        <v>35</v>
      </c>
      <c r="E613" s="2" t="s">
        <v>29</v>
      </c>
      <c r="G613" s="2" t="str">
        <f>IFERROR(VLOOKUP(F613,Picks!$A$2:$B$231,2,0),"")</f>
        <v/>
      </c>
      <c r="I613" s="4"/>
      <c r="J613" s="4"/>
      <c r="K613" s="4"/>
      <c r="L613" s="4"/>
      <c r="O613" s="4"/>
      <c r="P613" s="4"/>
      <c r="Q613" s="4"/>
      <c r="R613" s="4"/>
      <c r="W613" s="4"/>
      <c r="X613" s="4"/>
      <c r="Y613" s="4"/>
      <c r="Z613" s="4"/>
    </row>
    <row r="614" spans="1:26" x14ac:dyDescent="0.2">
      <c r="A614" s="2">
        <v>118238</v>
      </c>
      <c r="B614" s="2" t="s">
        <v>618</v>
      </c>
      <c r="C614" s="2" t="s">
        <v>473</v>
      </c>
      <c r="D614" s="2" t="s">
        <v>31</v>
      </c>
      <c r="E614" s="2" t="s">
        <v>29</v>
      </c>
      <c r="G614" s="2" t="str">
        <f>IFERROR(VLOOKUP(F614,Picks!$A$2:$B$231,2,0),"")</f>
        <v/>
      </c>
      <c r="I614" s="4"/>
      <c r="J614" s="4"/>
      <c r="K614" s="4"/>
      <c r="L614" s="4"/>
      <c r="O614" s="4"/>
      <c r="P614" s="4"/>
      <c r="Q614" s="4"/>
      <c r="R614" s="4"/>
      <c r="W614" s="4"/>
      <c r="X614" s="4"/>
      <c r="Y614" s="4"/>
      <c r="Z614" s="4"/>
    </row>
    <row r="615" spans="1:26" x14ac:dyDescent="0.2">
      <c r="A615" s="2">
        <v>145387</v>
      </c>
      <c r="B615" s="2" t="s">
        <v>618</v>
      </c>
      <c r="C615" s="2" t="s">
        <v>603</v>
      </c>
      <c r="D615" s="2" t="s">
        <v>33</v>
      </c>
      <c r="E615" s="2" t="s">
        <v>29</v>
      </c>
      <c r="G615" s="2" t="str">
        <f>IFERROR(VLOOKUP(F615,Picks!$A$2:$B$231,2,0),"")</f>
        <v/>
      </c>
      <c r="I615" s="4"/>
      <c r="J615" s="4"/>
      <c r="K615" s="4"/>
      <c r="L615" s="4"/>
      <c r="O615" s="4"/>
      <c r="P615" s="4"/>
      <c r="Q615" s="4"/>
      <c r="R615" s="4"/>
      <c r="W615" s="4"/>
      <c r="X615" s="4"/>
      <c r="Y615" s="4"/>
      <c r="Z615" s="4"/>
    </row>
    <row r="616" spans="1:26" x14ac:dyDescent="0.2">
      <c r="A616" s="2">
        <v>145099</v>
      </c>
      <c r="B616" s="2" t="s">
        <v>618</v>
      </c>
      <c r="C616" s="2" t="s">
        <v>601</v>
      </c>
      <c r="D616" s="2" t="s">
        <v>33</v>
      </c>
      <c r="E616" s="2" t="s">
        <v>29</v>
      </c>
      <c r="G616" s="2" t="str">
        <f>IFERROR(VLOOKUP(F616,Picks!$A$2:$B$231,2,0),"")</f>
        <v/>
      </c>
      <c r="I616" s="4"/>
      <c r="J616" s="4"/>
      <c r="K616" s="4"/>
      <c r="L616" s="4"/>
      <c r="O616" s="4"/>
      <c r="P616" s="4"/>
      <c r="Q616" s="4"/>
      <c r="R616" s="4"/>
      <c r="W616" s="4"/>
      <c r="X616" s="4"/>
      <c r="Y616" s="4"/>
      <c r="Z616" s="4"/>
    </row>
    <row r="617" spans="1:26" x14ac:dyDescent="0.2">
      <c r="A617" s="2">
        <v>111757</v>
      </c>
      <c r="B617" s="2" t="s">
        <v>618</v>
      </c>
      <c r="C617" s="2" t="s">
        <v>422</v>
      </c>
      <c r="D617" s="2" t="s">
        <v>35</v>
      </c>
      <c r="E617" s="2" t="s">
        <v>29</v>
      </c>
      <c r="G617" s="2" t="str">
        <f>IFERROR(VLOOKUP(F617,Picks!$A$2:$B$231,2,0),"")</f>
        <v/>
      </c>
      <c r="I617" s="4"/>
      <c r="J617" s="4"/>
      <c r="K617" s="4"/>
      <c r="L617" s="4"/>
      <c r="O617" s="4"/>
      <c r="P617" s="4"/>
      <c r="Q617" s="4"/>
      <c r="R617" s="4"/>
      <c r="W617" s="4"/>
      <c r="X617" s="4"/>
      <c r="Y617" s="4"/>
      <c r="Z617" s="4"/>
    </row>
    <row r="618" spans="1:26" x14ac:dyDescent="0.2">
      <c r="A618" s="2">
        <v>112576</v>
      </c>
      <c r="B618" s="2" t="s">
        <v>618</v>
      </c>
      <c r="C618" s="2" t="s">
        <v>433</v>
      </c>
      <c r="D618" s="2" t="s">
        <v>39</v>
      </c>
      <c r="E618" s="2" t="s">
        <v>29</v>
      </c>
      <c r="G618" s="2" t="str">
        <f>IFERROR(VLOOKUP(F618,Picks!$A$2:$B$231,2,0),"")</f>
        <v/>
      </c>
      <c r="I618" s="4"/>
      <c r="J618" s="4"/>
      <c r="K618" s="4"/>
      <c r="L618" s="4"/>
      <c r="O618" s="4"/>
      <c r="P618" s="4"/>
      <c r="Q618" s="4"/>
      <c r="R618" s="4"/>
      <c r="W618" s="4"/>
      <c r="X618" s="4"/>
      <c r="Y618" s="4"/>
      <c r="Z618" s="4"/>
    </row>
    <row r="619" spans="1:26" x14ac:dyDescent="0.2">
      <c r="A619" s="2">
        <v>117842</v>
      </c>
      <c r="B619" s="2" t="s">
        <v>618</v>
      </c>
      <c r="C619" s="2" t="s">
        <v>105</v>
      </c>
      <c r="D619" s="2" t="s">
        <v>35</v>
      </c>
      <c r="E619" s="2" t="s">
        <v>29</v>
      </c>
      <c r="G619" s="2" t="str">
        <f>IFERROR(VLOOKUP(F619,Picks!$A$2:$B$231,2,0),"")</f>
        <v/>
      </c>
      <c r="I619" s="4"/>
      <c r="J619" s="4"/>
      <c r="K619" s="4"/>
      <c r="L619" s="4"/>
      <c r="O619" s="4"/>
      <c r="P619" s="4"/>
      <c r="Q619" s="4"/>
      <c r="R619" s="4"/>
      <c r="W619" s="4"/>
      <c r="X619" s="4"/>
      <c r="Y619" s="4"/>
      <c r="Z619" s="4"/>
    </row>
    <row r="620" spans="1:26" x14ac:dyDescent="0.2">
      <c r="A620" s="2">
        <v>133696</v>
      </c>
      <c r="B620" s="2" t="s">
        <v>618</v>
      </c>
      <c r="C620" s="2" t="s">
        <v>565</v>
      </c>
      <c r="D620" s="2" t="s">
        <v>23</v>
      </c>
      <c r="E620" s="2" t="s">
        <v>29</v>
      </c>
      <c r="G620" s="2" t="str">
        <f>IFERROR(VLOOKUP(F620,Picks!$A$2:$B$231,2,0),"")</f>
        <v/>
      </c>
      <c r="I620" s="4"/>
      <c r="J620" s="4"/>
      <c r="K620" s="4"/>
      <c r="L620" s="4"/>
      <c r="O620" s="4"/>
      <c r="P620" s="4"/>
      <c r="Q620" s="4"/>
      <c r="R620" s="4"/>
      <c r="W620" s="4"/>
      <c r="X620" s="4"/>
      <c r="Y620" s="4"/>
      <c r="Z620" s="4"/>
    </row>
    <row r="621" spans="1:26" x14ac:dyDescent="0.2">
      <c r="A621" s="2">
        <v>101405</v>
      </c>
      <c r="B621" s="2" t="s">
        <v>618</v>
      </c>
      <c r="C621" s="2" t="s">
        <v>300</v>
      </c>
      <c r="D621" s="2" t="s">
        <v>39</v>
      </c>
      <c r="E621" s="2" t="s">
        <v>29</v>
      </c>
      <c r="G621" s="2" t="str">
        <f>IFERROR(VLOOKUP(F621,Picks!$A$2:$B$231,2,0),"")</f>
        <v/>
      </c>
      <c r="I621" s="4"/>
      <c r="J621" s="4"/>
      <c r="K621" s="4"/>
      <c r="L621" s="4"/>
      <c r="O621" s="4"/>
      <c r="P621" s="4"/>
      <c r="Q621" s="4"/>
      <c r="R621" s="4"/>
      <c r="W621" s="4"/>
      <c r="X621" s="4"/>
      <c r="Y621" s="4"/>
      <c r="Z621" s="4"/>
    </row>
    <row r="622" spans="1:26" x14ac:dyDescent="0.2">
      <c r="A622" s="2">
        <v>117338</v>
      </c>
      <c r="B622" s="2" t="s">
        <v>618</v>
      </c>
      <c r="C622" s="2" t="s">
        <v>466</v>
      </c>
      <c r="D622" s="2" t="s">
        <v>118</v>
      </c>
      <c r="E622" s="2" t="s">
        <v>29</v>
      </c>
      <c r="G622" s="2" t="str">
        <f>IFERROR(VLOOKUP(F622,Picks!$A$2:$B$231,2,0),"")</f>
        <v/>
      </c>
      <c r="I622" s="4"/>
      <c r="J622" s="4"/>
      <c r="K622" s="4"/>
      <c r="L622" s="4"/>
      <c r="O622" s="4"/>
      <c r="P622" s="4"/>
      <c r="Q622" s="4"/>
      <c r="R622" s="4"/>
      <c r="W622" s="4"/>
      <c r="X622" s="4"/>
      <c r="Y622" s="4"/>
      <c r="Z622" s="4"/>
    </row>
  </sheetData>
  <autoFilter ref="A1:AH622" xr:uid="{00000000-0001-0000-0000-000000000000}">
    <sortState xmlns:xlrd2="http://schemas.microsoft.com/office/spreadsheetml/2017/richdata2" ref="A345:AB345">
      <sortCondition ref="C1:C622"/>
    </sortState>
  </autoFilter>
  <conditionalFormatting sqref="U283:U622 U2:U276 M2:M628">
    <cfRule type="containsText" dxfId="14" priority="46" operator="containsText" text="D">
      <formula>NOT(ISERROR(SEARCH("D",M2)))</formula>
    </cfRule>
    <cfRule type="containsText" dxfId="13" priority="47" operator="containsText" text="C">
      <formula>NOT(ISERROR(SEARCH("C",M2)))</formula>
    </cfRule>
    <cfRule type="containsText" dxfId="12" priority="48" operator="containsText" text="B">
      <formula>NOT(ISERROR(SEARCH("B",M2)))</formula>
    </cfRule>
    <cfRule type="containsText" dxfId="11" priority="49" operator="containsText" text="A">
      <formula>NOT(ISERROR(SEARCH("A",M2)))</formula>
    </cfRule>
    <cfRule type="containsText" dxfId="10" priority="50" operator="containsText" text="S">
      <formula>NOT(ISERROR(SEARCH("S",M2)))</formula>
    </cfRule>
  </conditionalFormatting>
  <conditionalFormatting sqref="U278:U279">
    <cfRule type="containsText" dxfId="9" priority="6" operator="containsText" text="D">
      <formula>NOT(ISERROR(SEARCH("D",U278)))</formula>
    </cfRule>
    <cfRule type="containsText" dxfId="8" priority="7" operator="containsText" text="C">
      <formula>NOT(ISERROR(SEARCH("C",U278)))</formula>
    </cfRule>
    <cfRule type="containsText" dxfId="7" priority="8" operator="containsText" text="B">
      <formula>NOT(ISERROR(SEARCH("B",U278)))</formula>
    </cfRule>
    <cfRule type="containsText" dxfId="6" priority="9" operator="containsText" text="A">
      <formula>NOT(ISERROR(SEARCH("A",U278)))</formula>
    </cfRule>
    <cfRule type="containsText" dxfId="5" priority="10" operator="containsText" text="S">
      <formula>NOT(ISERROR(SEARCH("S",U278)))</formula>
    </cfRule>
  </conditionalFormatting>
  <conditionalFormatting sqref="U281">
    <cfRule type="containsText" dxfId="4" priority="1" operator="containsText" text="D">
      <formula>NOT(ISERROR(SEARCH("D",U281)))</formula>
    </cfRule>
    <cfRule type="containsText" dxfId="3" priority="2" operator="containsText" text="C">
      <formula>NOT(ISERROR(SEARCH("C",U281)))</formula>
    </cfRule>
    <cfRule type="containsText" dxfId="2" priority="3" operator="containsText" text="B">
      <formula>NOT(ISERROR(SEARCH("B",U281)))</formula>
    </cfRule>
    <cfRule type="containsText" dxfId="1" priority="4" operator="containsText" text="A">
      <formula>NOT(ISERROR(SEARCH("A",U281)))</formula>
    </cfRule>
    <cfRule type="containsText" dxfId="0" priority="5" operator="containsText" text="S">
      <formula>NOT(ISERROR(SEARCH("S",U281)))</formula>
    </cfRule>
  </conditionalFormatting>
  <pageMargins left="0.75" right="0.75" top="1" bottom="1" header="0.5" footer="0.5"/>
  <headerFooter>
    <oddHeader>&amp;L&amp;"Aptos"&amp;10&amp;K0000FF TechnipFMC |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3E4B-00C7-894D-8330-080F7404C676}">
  <dimension ref="A1:H24"/>
  <sheetViews>
    <sheetView showGridLines="0" zoomScale="130" zoomScaleNormal="130" workbookViewId="0"/>
  </sheetViews>
  <sheetFormatPr baseColWidth="10" defaultRowHeight="15" x14ac:dyDescent="0.2"/>
  <cols>
    <col min="1" max="2" width="10.83203125" style="1"/>
    <col min="3" max="3" width="30.83203125" bestFit="1" customWidth="1"/>
    <col min="6" max="9" width="20.83203125" customWidth="1"/>
  </cols>
  <sheetData>
    <row r="1" spans="1:8" s="5" customFormat="1" x14ac:dyDescent="0.2">
      <c r="A1" s="6" t="s">
        <v>635</v>
      </c>
      <c r="B1" s="6" t="s">
        <v>636</v>
      </c>
      <c r="C1" s="5" t="s">
        <v>637</v>
      </c>
      <c r="E1" s="5" t="s">
        <v>669</v>
      </c>
    </row>
    <row r="2" spans="1:8" x14ac:dyDescent="0.2">
      <c r="A2" s="1">
        <v>1</v>
      </c>
      <c r="B2" s="1">
        <v>1</v>
      </c>
      <c r="C2" t="str">
        <f>IFERROR(INDEX('Draft Board'!$A$1:$Z$622,MATCH(B2,'Draft Board'!$F$1:$F$622,0),3),"")</f>
        <v>Kaio Jorge</v>
      </c>
      <c r="E2" t="s">
        <v>24</v>
      </c>
      <c r="F2" t="s">
        <v>332</v>
      </c>
    </row>
    <row r="3" spans="1:8" x14ac:dyDescent="0.2">
      <c r="A3" s="1">
        <v>2</v>
      </c>
      <c r="B3" s="1">
        <v>20</v>
      </c>
      <c r="C3" t="str">
        <f>IFERROR(INDEX('Draft Board'!$A$1:$Z$622,MATCH(B3,'Draft Board'!$F$1:$F$622,0),3),"")</f>
        <v>Samuel Lino</v>
      </c>
      <c r="F3" t="s">
        <v>69</v>
      </c>
    </row>
    <row r="4" spans="1:8" x14ac:dyDescent="0.2">
      <c r="A4" s="1">
        <v>3</v>
      </c>
      <c r="B4" s="1">
        <v>21</v>
      </c>
      <c r="C4" t="str">
        <f>IFERROR(INDEX('Draft Board'!$A$1:$Z$622,MATCH(B4,'Draft Board'!$F$1:$F$622,0),3),"")</f>
        <v>Paulo Henrique</v>
      </c>
      <c r="E4" t="s">
        <v>53</v>
      </c>
      <c r="F4" t="s">
        <v>198</v>
      </c>
      <c r="G4" t="s">
        <v>93</v>
      </c>
    </row>
    <row r="5" spans="1:8" x14ac:dyDescent="0.2">
      <c r="A5" s="1">
        <v>4</v>
      </c>
      <c r="B5" s="1">
        <v>40</v>
      </c>
      <c r="C5" t="str">
        <f>IFERROR(INDEX('Draft Board'!$A$1:$Z$622,MATCH(B5,'Draft Board'!$F$1:$F$622,0),3),"")</f>
        <v>Luciano Juba</v>
      </c>
      <c r="F5" t="s">
        <v>387</v>
      </c>
      <c r="G5" t="s">
        <v>391</v>
      </c>
    </row>
    <row r="6" spans="1:8" x14ac:dyDescent="0.2">
      <c r="A6" s="1">
        <v>5</v>
      </c>
      <c r="B6" s="1">
        <v>41</v>
      </c>
      <c r="C6" t="str">
        <f>IFERROR(INDEX('Draft Board'!$A$1:$Z$622,MATCH(B6,'Draft Board'!$F$1:$F$622,0),3),"")</f>
        <v>Carlos Miguel</v>
      </c>
      <c r="E6" t="s">
        <v>37</v>
      </c>
      <c r="F6" t="s">
        <v>223</v>
      </c>
      <c r="G6" t="s">
        <v>373</v>
      </c>
    </row>
    <row r="7" spans="1:8" x14ac:dyDescent="0.2">
      <c r="A7" s="1">
        <v>6</v>
      </c>
      <c r="B7" s="1">
        <v>60</v>
      </c>
      <c r="C7" t="str">
        <f>IFERROR(INDEX('Draft Board'!$A$1:$Z$622,MATCH(B7,'Draft Board'!$F$1:$F$622,0),3),"")</f>
        <v>Fabrício Bruno</v>
      </c>
      <c r="F7" t="s">
        <v>105</v>
      </c>
      <c r="G7" t="s">
        <v>581</v>
      </c>
      <c r="H7" t="s">
        <v>358</v>
      </c>
    </row>
    <row r="8" spans="1:8" x14ac:dyDescent="0.2">
      <c r="A8" s="1">
        <v>7</v>
      </c>
      <c r="B8" s="1">
        <v>61</v>
      </c>
      <c r="C8" t="str">
        <f>IFERROR(INDEX('Draft Board'!$A$1:$Z$622,MATCH(B8,'Draft Board'!$F$1:$F$622,0),3),"")</f>
        <v>Erick</v>
      </c>
      <c r="E8" t="s">
        <v>29</v>
      </c>
      <c r="F8" t="s">
        <v>143</v>
      </c>
      <c r="G8" t="s">
        <v>271</v>
      </c>
      <c r="H8" t="s">
        <v>236</v>
      </c>
    </row>
    <row r="9" spans="1:8" x14ac:dyDescent="0.2">
      <c r="A9" s="1">
        <v>8</v>
      </c>
      <c r="B9" s="1">
        <v>80</v>
      </c>
      <c r="C9" t="str">
        <f>IFERROR(INDEX('Draft Board'!$A$1:$Z$622,MATCH(B9,'Draft Board'!$F$1:$F$622,0),3),"")</f>
        <v>Lucas Romero</v>
      </c>
      <c r="F9" t="s">
        <v>144</v>
      </c>
      <c r="G9" t="s">
        <v>431</v>
      </c>
      <c r="H9" t="s">
        <v>128</v>
      </c>
    </row>
    <row r="10" spans="1:8" x14ac:dyDescent="0.2">
      <c r="A10" s="1">
        <v>9</v>
      </c>
      <c r="B10" s="1">
        <v>81</v>
      </c>
      <c r="C10" t="str">
        <f>IFERROR(INDEX('Draft Board'!$A$1:$Z$622,MATCH(B10,'Draft Board'!$F$1:$F$622,0),3),"")</f>
        <v>Jean Lucas</v>
      </c>
      <c r="E10" t="s">
        <v>27</v>
      </c>
      <c r="F10" t="s">
        <v>326</v>
      </c>
      <c r="G10" t="s">
        <v>274</v>
      </c>
      <c r="H10" t="s">
        <v>260</v>
      </c>
    </row>
    <row r="11" spans="1:8" x14ac:dyDescent="0.2">
      <c r="A11" s="1">
        <v>10</v>
      </c>
      <c r="B11" s="1">
        <v>100</v>
      </c>
      <c r="C11" t="str">
        <f>IFERROR(INDEX('Draft Board'!$A$1:$Z$622,MATCH(B11,'Draft Board'!$F$1:$F$622,0),3),"")</f>
        <v>Vitinho</v>
      </c>
      <c r="F11" t="s">
        <v>437</v>
      </c>
      <c r="G11" t="s">
        <v>397</v>
      </c>
      <c r="H11" t="s">
        <v>191</v>
      </c>
    </row>
    <row r="12" spans="1:8" x14ac:dyDescent="0.2">
      <c r="A12" s="1">
        <v>11</v>
      </c>
      <c r="B12" s="1">
        <v>101</v>
      </c>
      <c r="C12" t="str">
        <f>IFERROR(INDEX('Draft Board'!$A$1:$Z$622,MATCH(B12,'Draft Board'!$F$1:$F$622,0),3),"")</f>
        <v>Lucas Barbosa</v>
      </c>
    </row>
    <row r="13" spans="1:8" x14ac:dyDescent="0.2">
      <c r="A13" s="1">
        <v>12</v>
      </c>
      <c r="B13" s="1">
        <v>120</v>
      </c>
      <c r="C13" t="str">
        <f>IFERROR(INDEX('Draft Board'!$A$1:$Z$622,MATCH(B13,'Draft Board'!$F$1:$F$622,0),3),"")</f>
        <v>Raniele</v>
      </c>
    </row>
    <row r="14" spans="1:8" x14ac:dyDescent="0.2">
      <c r="A14" s="1">
        <v>13</v>
      </c>
      <c r="B14" s="1">
        <v>121</v>
      </c>
      <c r="C14" t="str">
        <f>IFERROR(INDEX('Draft Board'!$A$1:$Z$622,MATCH(B14,'Draft Board'!$F$1:$F$622,0),3),"")</f>
        <v>Vitor Hugo</v>
      </c>
    </row>
    <row r="15" spans="1:8" x14ac:dyDescent="0.2">
      <c r="A15" s="1">
        <v>14</v>
      </c>
      <c r="B15" s="1">
        <v>140</v>
      </c>
      <c r="C15" t="str">
        <f>IFERROR(INDEX('Draft Board'!$A$1:$Z$622,MATCH(B15,'Draft Board'!$F$1:$F$622,0),3),"")</f>
        <v>Rafael</v>
      </c>
    </row>
    <row r="16" spans="1:8" x14ac:dyDescent="0.2">
      <c r="A16" s="1">
        <v>15</v>
      </c>
      <c r="B16" s="1">
        <v>141</v>
      </c>
      <c r="C16" t="str">
        <f>IFERROR(INDEX('Draft Board'!$A$1:$Z$622,MATCH(B16,'Draft Board'!$F$1:$F$622,0),3),"")</f>
        <v>Josué</v>
      </c>
    </row>
    <row r="17" spans="1:3" x14ac:dyDescent="0.2">
      <c r="A17" s="1">
        <v>16</v>
      </c>
      <c r="B17" s="1">
        <v>160</v>
      </c>
      <c r="C17" t="str">
        <f>IFERROR(INDEX('Draft Board'!$A$1:$Z$622,MATCH(B17,'Draft Board'!$F$1:$F$622,0),3),"")</f>
        <v>Galeano</v>
      </c>
    </row>
    <row r="18" spans="1:3" x14ac:dyDescent="0.2">
      <c r="A18" s="1">
        <v>17</v>
      </c>
      <c r="B18" s="1">
        <v>161</v>
      </c>
      <c r="C18" t="str">
        <f>IFERROR(INDEX('Draft Board'!$A$1:$Z$622,MATCH(B18,'Draft Board'!$F$1:$F$622,0),3),"")</f>
        <v>Maik</v>
      </c>
    </row>
    <row r="19" spans="1:3" x14ac:dyDescent="0.2">
      <c r="A19" s="1">
        <v>18</v>
      </c>
      <c r="B19" s="1">
        <v>180</v>
      </c>
      <c r="C19" t="s">
        <v>191</v>
      </c>
    </row>
    <row r="20" spans="1:3" x14ac:dyDescent="0.2">
      <c r="A20" s="1">
        <v>19</v>
      </c>
      <c r="B20" s="1">
        <v>181</v>
      </c>
      <c r="C20" t="s">
        <v>431</v>
      </c>
    </row>
    <row r="21" spans="1:3" x14ac:dyDescent="0.2">
      <c r="A21" s="1">
        <v>20</v>
      </c>
      <c r="B21" s="1">
        <v>200</v>
      </c>
      <c r="C21" t="s">
        <v>387</v>
      </c>
    </row>
    <row r="22" spans="1:3" x14ac:dyDescent="0.2">
      <c r="A22" s="1">
        <v>21</v>
      </c>
      <c r="B22" s="1">
        <v>201</v>
      </c>
      <c r="C22" t="s">
        <v>391</v>
      </c>
    </row>
    <row r="23" spans="1:3" x14ac:dyDescent="0.2">
      <c r="A23" s="1">
        <v>22</v>
      </c>
      <c r="B23" s="1">
        <v>220</v>
      </c>
      <c r="C23" t="s">
        <v>128</v>
      </c>
    </row>
    <row r="24" spans="1:3" x14ac:dyDescent="0.2">
      <c r="A24" s="1">
        <v>23</v>
      </c>
      <c r="B24" s="1">
        <v>221</v>
      </c>
      <c r="C24" t="s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8DA3-1E96-1945-BC99-C433DF63736F}">
  <dimension ref="A1:C231"/>
  <sheetViews>
    <sheetView showGridLines="0" zoomScale="130" zoomScaleNormal="130" workbookViewId="0"/>
  </sheetViews>
  <sheetFormatPr baseColWidth="10" defaultRowHeight="15" x14ac:dyDescent="0.2"/>
  <cols>
    <col min="1" max="1" width="12.5" style="2" bestFit="1" customWidth="1"/>
    <col min="2" max="2" width="20.6640625" style="9" customWidth="1"/>
    <col min="3" max="3" width="10.83203125" style="2"/>
    <col min="4" max="16384" width="10.83203125" style="10"/>
  </cols>
  <sheetData>
    <row r="1" spans="1:3" s="8" customFormat="1" x14ac:dyDescent="0.2">
      <c r="A1" s="3" t="s">
        <v>670</v>
      </c>
      <c r="B1" s="7" t="s">
        <v>671</v>
      </c>
      <c r="C1" s="3"/>
    </row>
    <row r="2" spans="1:3" x14ac:dyDescent="0.2">
      <c r="A2" s="2">
        <v>1</v>
      </c>
      <c r="B2" s="9" t="s">
        <v>658</v>
      </c>
    </row>
    <row r="3" spans="1:3" x14ac:dyDescent="0.2">
      <c r="A3" s="2">
        <v>2</v>
      </c>
      <c r="B3" s="9" t="s">
        <v>659</v>
      </c>
    </row>
    <row r="4" spans="1:3" x14ac:dyDescent="0.2">
      <c r="A4" s="2">
        <v>3</v>
      </c>
      <c r="B4" s="9" t="s">
        <v>660</v>
      </c>
    </row>
    <row r="5" spans="1:3" x14ac:dyDescent="0.2">
      <c r="A5" s="2">
        <v>4</v>
      </c>
      <c r="B5" s="9" t="s">
        <v>661</v>
      </c>
    </row>
    <row r="6" spans="1:3" x14ac:dyDescent="0.2">
      <c r="A6" s="2">
        <v>5</v>
      </c>
      <c r="B6" s="9" t="s">
        <v>287</v>
      </c>
    </row>
    <row r="7" spans="1:3" x14ac:dyDescent="0.2">
      <c r="A7" s="2">
        <v>6</v>
      </c>
      <c r="B7" s="9" t="s">
        <v>662</v>
      </c>
    </row>
    <row r="8" spans="1:3" x14ac:dyDescent="0.2">
      <c r="A8" s="2">
        <v>7</v>
      </c>
      <c r="B8" s="9" t="s">
        <v>663</v>
      </c>
    </row>
    <row r="9" spans="1:3" x14ac:dyDescent="0.2">
      <c r="A9" s="2">
        <v>8</v>
      </c>
      <c r="B9" s="9" t="s">
        <v>664</v>
      </c>
    </row>
    <row r="10" spans="1:3" x14ac:dyDescent="0.2">
      <c r="A10" s="2">
        <v>9</v>
      </c>
      <c r="B10" s="9" t="s">
        <v>665</v>
      </c>
    </row>
    <row r="11" spans="1:3" x14ac:dyDescent="0.2">
      <c r="A11" s="2">
        <v>10</v>
      </c>
      <c r="B11" s="9" t="s">
        <v>666</v>
      </c>
    </row>
    <row r="12" spans="1:3" x14ac:dyDescent="0.2">
      <c r="A12" s="2">
        <v>11</v>
      </c>
      <c r="B12" s="9" t="s">
        <v>666</v>
      </c>
    </row>
    <row r="13" spans="1:3" x14ac:dyDescent="0.2">
      <c r="A13" s="2">
        <v>12</v>
      </c>
      <c r="B13" s="9" t="s">
        <v>665</v>
      </c>
    </row>
    <row r="14" spans="1:3" x14ac:dyDescent="0.2">
      <c r="A14" s="2">
        <v>13</v>
      </c>
      <c r="B14" s="9" t="s">
        <v>664</v>
      </c>
    </row>
    <row r="15" spans="1:3" x14ac:dyDescent="0.2">
      <c r="A15" s="2">
        <v>14</v>
      </c>
      <c r="B15" s="9" t="s">
        <v>663</v>
      </c>
    </row>
    <row r="16" spans="1:3" x14ac:dyDescent="0.2">
      <c r="A16" s="2">
        <v>15</v>
      </c>
      <c r="B16" s="9" t="s">
        <v>662</v>
      </c>
    </row>
    <row r="17" spans="1:2" x14ac:dyDescent="0.2">
      <c r="A17" s="2">
        <v>16</v>
      </c>
      <c r="B17" s="9" t="s">
        <v>287</v>
      </c>
    </row>
    <row r="18" spans="1:2" x14ac:dyDescent="0.2">
      <c r="A18" s="2">
        <v>17</v>
      </c>
      <c r="B18" s="9" t="s">
        <v>661</v>
      </c>
    </row>
    <row r="19" spans="1:2" x14ac:dyDescent="0.2">
      <c r="A19" s="2">
        <v>18</v>
      </c>
      <c r="B19" s="9" t="s">
        <v>660</v>
      </c>
    </row>
    <row r="20" spans="1:2" x14ac:dyDescent="0.2">
      <c r="A20" s="2">
        <v>19</v>
      </c>
      <c r="B20" s="9" t="s">
        <v>659</v>
      </c>
    </row>
    <row r="21" spans="1:2" x14ac:dyDescent="0.2">
      <c r="A21" s="2">
        <v>20</v>
      </c>
      <c r="B21" s="9" t="s">
        <v>658</v>
      </c>
    </row>
    <row r="22" spans="1:2" x14ac:dyDescent="0.2">
      <c r="A22" s="2">
        <v>21</v>
      </c>
      <c r="B22" s="9" t="s">
        <v>658</v>
      </c>
    </row>
    <row r="23" spans="1:2" x14ac:dyDescent="0.2">
      <c r="A23" s="2">
        <v>22</v>
      </c>
      <c r="B23" s="9" t="s">
        <v>659</v>
      </c>
    </row>
    <row r="24" spans="1:2" x14ac:dyDescent="0.2">
      <c r="A24" s="2">
        <v>23</v>
      </c>
      <c r="B24" s="9" t="s">
        <v>660</v>
      </c>
    </row>
    <row r="25" spans="1:2" x14ac:dyDescent="0.2">
      <c r="A25" s="2">
        <v>24</v>
      </c>
      <c r="B25" s="9" t="s">
        <v>661</v>
      </c>
    </row>
    <row r="26" spans="1:2" x14ac:dyDescent="0.2">
      <c r="A26" s="2">
        <v>25</v>
      </c>
      <c r="B26" s="9" t="s">
        <v>287</v>
      </c>
    </row>
    <row r="27" spans="1:2" x14ac:dyDescent="0.2">
      <c r="A27" s="2">
        <v>26</v>
      </c>
      <c r="B27" s="9" t="s">
        <v>662</v>
      </c>
    </row>
    <row r="28" spans="1:2" x14ac:dyDescent="0.2">
      <c r="A28" s="2">
        <v>27</v>
      </c>
      <c r="B28" s="9" t="s">
        <v>663</v>
      </c>
    </row>
    <row r="29" spans="1:2" x14ac:dyDescent="0.2">
      <c r="A29" s="2">
        <v>28</v>
      </c>
      <c r="B29" s="9" t="s">
        <v>664</v>
      </c>
    </row>
    <row r="30" spans="1:2" x14ac:dyDescent="0.2">
      <c r="A30" s="2">
        <v>29</v>
      </c>
      <c r="B30" s="9" t="s">
        <v>665</v>
      </c>
    </row>
    <row r="31" spans="1:2" x14ac:dyDescent="0.2">
      <c r="A31" s="2">
        <v>30</v>
      </c>
      <c r="B31" s="9" t="s">
        <v>666</v>
      </c>
    </row>
    <row r="32" spans="1:2" x14ac:dyDescent="0.2">
      <c r="A32" s="2">
        <v>31</v>
      </c>
      <c r="B32" s="9" t="s">
        <v>666</v>
      </c>
    </row>
    <row r="33" spans="1:2" x14ac:dyDescent="0.2">
      <c r="A33" s="2">
        <v>32</v>
      </c>
      <c r="B33" s="9" t="s">
        <v>665</v>
      </c>
    </row>
    <row r="34" spans="1:2" x14ac:dyDescent="0.2">
      <c r="A34" s="2">
        <v>33</v>
      </c>
      <c r="B34" s="9" t="s">
        <v>664</v>
      </c>
    </row>
    <row r="35" spans="1:2" x14ac:dyDescent="0.2">
      <c r="A35" s="2">
        <v>34</v>
      </c>
      <c r="B35" s="9" t="s">
        <v>663</v>
      </c>
    </row>
    <row r="36" spans="1:2" x14ac:dyDescent="0.2">
      <c r="A36" s="2">
        <v>35</v>
      </c>
      <c r="B36" s="9" t="s">
        <v>662</v>
      </c>
    </row>
    <row r="37" spans="1:2" x14ac:dyDescent="0.2">
      <c r="A37" s="2">
        <v>36</v>
      </c>
      <c r="B37" s="9" t="s">
        <v>287</v>
      </c>
    </row>
    <row r="38" spans="1:2" x14ac:dyDescent="0.2">
      <c r="A38" s="2">
        <v>37</v>
      </c>
      <c r="B38" s="9" t="s">
        <v>661</v>
      </c>
    </row>
    <row r="39" spans="1:2" x14ac:dyDescent="0.2">
      <c r="A39" s="2">
        <v>38</v>
      </c>
      <c r="B39" s="9" t="s">
        <v>660</v>
      </c>
    </row>
    <row r="40" spans="1:2" x14ac:dyDescent="0.2">
      <c r="A40" s="2">
        <v>39</v>
      </c>
      <c r="B40" s="9" t="s">
        <v>659</v>
      </c>
    </row>
    <row r="41" spans="1:2" x14ac:dyDescent="0.2">
      <c r="A41" s="2">
        <v>40</v>
      </c>
      <c r="B41" s="9" t="s">
        <v>658</v>
      </c>
    </row>
    <row r="42" spans="1:2" x14ac:dyDescent="0.2">
      <c r="A42" s="2">
        <v>41</v>
      </c>
      <c r="B42" s="9" t="s">
        <v>658</v>
      </c>
    </row>
    <row r="43" spans="1:2" x14ac:dyDescent="0.2">
      <c r="A43" s="2">
        <v>42</v>
      </c>
      <c r="B43" s="9" t="s">
        <v>659</v>
      </c>
    </row>
    <row r="44" spans="1:2" x14ac:dyDescent="0.2">
      <c r="A44" s="2">
        <v>43</v>
      </c>
      <c r="B44" s="9" t="s">
        <v>660</v>
      </c>
    </row>
    <row r="45" spans="1:2" x14ac:dyDescent="0.2">
      <c r="A45" s="2">
        <v>44</v>
      </c>
      <c r="B45" s="9" t="s">
        <v>661</v>
      </c>
    </row>
    <row r="46" spans="1:2" x14ac:dyDescent="0.2">
      <c r="A46" s="2">
        <v>45</v>
      </c>
      <c r="B46" s="9" t="s">
        <v>287</v>
      </c>
    </row>
    <row r="47" spans="1:2" x14ac:dyDescent="0.2">
      <c r="A47" s="2">
        <v>46</v>
      </c>
      <c r="B47" s="9" t="s">
        <v>662</v>
      </c>
    </row>
    <row r="48" spans="1:2" x14ac:dyDescent="0.2">
      <c r="A48" s="2">
        <v>47</v>
      </c>
      <c r="B48" s="9" t="s">
        <v>663</v>
      </c>
    </row>
    <row r="49" spans="1:2" x14ac:dyDescent="0.2">
      <c r="A49" s="2">
        <v>48</v>
      </c>
      <c r="B49" s="9" t="s">
        <v>664</v>
      </c>
    </row>
    <row r="50" spans="1:2" x14ac:dyDescent="0.2">
      <c r="A50" s="2">
        <v>49</v>
      </c>
      <c r="B50" s="9" t="s">
        <v>665</v>
      </c>
    </row>
    <row r="51" spans="1:2" x14ac:dyDescent="0.2">
      <c r="A51" s="2">
        <v>50</v>
      </c>
      <c r="B51" s="9" t="s">
        <v>666</v>
      </c>
    </row>
    <row r="52" spans="1:2" x14ac:dyDescent="0.2">
      <c r="A52" s="2">
        <v>51</v>
      </c>
      <c r="B52" s="9" t="s">
        <v>666</v>
      </c>
    </row>
    <row r="53" spans="1:2" x14ac:dyDescent="0.2">
      <c r="A53" s="2">
        <v>52</v>
      </c>
      <c r="B53" s="9" t="s">
        <v>665</v>
      </c>
    </row>
    <row r="54" spans="1:2" x14ac:dyDescent="0.2">
      <c r="A54" s="2">
        <v>53</v>
      </c>
      <c r="B54" s="9" t="s">
        <v>664</v>
      </c>
    </row>
    <row r="55" spans="1:2" x14ac:dyDescent="0.2">
      <c r="A55" s="2">
        <v>54</v>
      </c>
      <c r="B55" s="9" t="s">
        <v>663</v>
      </c>
    </row>
    <row r="56" spans="1:2" x14ac:dyDescent="0.2">
      <c r="A56" s="2">
        <v>55</v>
      </c>
      <c r="B56" s="9" t="s">
        <v>662</v>
      </c>
    </row>
    <row r="57" spans="1:2" x14ac:dyDescent="0.2">
      <c r="A57" s="2">
        <v>56</v>
      </c>
      <c r="B57" s="9" t="s">
        <v>287</v>
      </c>
    </row>
    <row r="58" spans="1:2" x14ac:dyDescent="0.2">
      <c r="A58" s="2">
        <v>57</v>
      </c>
      <c r="B58" s="9" t="s">
        <v>661</v>
      </c>
    </row>
    <row r="59" spans="1:2" x14ac:dyDescent="0.2">
      <c r="A59" s="2">
        <v>58</v>
      </c>
      <c r="B59" s="9" t="s">
        <v>660</v>
      </c>
    </row>
    <row r="60" spans="1:2" x14ac:dyDescent="0.2">
      <c r="A60" s="2">
        <v>59</v>
      </c>
      <c r="B60" s="9" t="s">
        <v>659</v>
      </c>
    </row>
    <row r="61" spans="1:2" x14ac:dyDescent="0.2">
      <c r="A61" s="2">
        <v>60</v>
      </c>
      <c r="B61" s="9" t="s">
        <v>658</v>
      </c>
    </row>
    <row r="62" spans="1:2" x14ac:dyDescent="0.2">
      <c r="A62" s="2">
        <v>61</v>
      </c>
      <c r="B62" s="9" t="s">
        <v>658</v>
      </c>
    </row>
    <row r="63" spans="1:2" x14ac:dyDescent="0.2">
      <c r="A63" s="2">
        <v>62</v>
      </c>
      <c r="B63" s="9" t="s">
        <v>659</v>
      </c>
    </row>
    <row r="64" spans="1:2" x14ac:dyDescent="0.2">
      <c r="A64" s="2">
        <v>63</v>
      </c>
      <c r="B64" s="9" t="s">
        <v>660</v>
      </c>
    </row>
    <row r="65" spans="1:2" x14ac:dyDescent="0.2">
      <c r="A65" s="2">
        <v>64</v>
      </c>
      <c r="B65" s="9" t="s">
        <v>661</v>
      </c>
    </row>
    <row r="66" spans="1:2" x14ac:dyDescent="0.2">
      <c r="A66" s="2">
        <v>65</v>
      </c>
      <c r="B66" s="9" t="s">
        <v>287</v>
      </c>
    </row>
    <row r="67" spans="1:2" x14ac:dyDescent="0.2">
      <c r="A67" s="2">
        <v>66</v>
      </c>
      <c r="B67" s="9" t="s">
        <v>662</v>
      </c>
    </row>
    <row r="68" spans="1:2" x14ac:dyDescent="0.2">
      <c r="A68" s="2">
        <v>67</v>
      </c>
      <c r="B68" s="9" t="s">
        <v>663</v>
      </c>
    </row>
    <row r="69" spans="1:2" x14ac:dyDescent="0.2">
      <c r="A69" s="2">
        <v>68</v>
      </c>
      <c r="B69" s="9" t="s">
        <v>664</v>
      </c>
    </row>
    <row r="70" spans="1:2" x14ac:dyDescent="0.2">
      <c r="A70" s="2">
        <v>69</v>
      </c>
      <c r="B70" s="9" t="s">
        <v>665</v>
      </c>
    </row>
    <row r="71" spans="1:2" x14ac:dyDescent="0.2">
      <c r="A71" s="2">
        <v>70</v>
      </c>
      <c r="B71" s="9" t="s">
        <v>666</v>
      </c>
    </row>
    <row r="72" spans="1:2" x14ac:dyDescent="0.2">
      <c r="A72" s="2">
        <v>71</v>
      </c>
      <c r="B72" s="9" t="s">
        <v>666</v>
      </c>
    </row>
    <row r="73" spans="1:2" x14ac:dyDescent="0.2">
      <c r="A73" s="2">
        <v>72</v>
      </c>
      <c r="B73" s="9" t="s">
        <v>665</v>
      </c>
    </row>
    <row r="74" spans="1:2" x14ac:dyDescent="0.2">
      <c r="A74" s="2">
        <v>73</v>
      </c>
      <c r="B74" s="9" t="s">
        <v>664</v>
      </c>
    </row>
    <row r="75" spans="1:2" x14ac:dyDescent="0.2">
      <c r="A75" s="2">
        <v>74</v>
      </c>
      <c r="B75" s="9" t="s">
        <v>663</v>
      </c>
    </row>
    <row r="76" spans="1:2" x14ac:dyDescent="0.2">
      <c r="A76" s="2">
        <v>75</v>
      </c>
      <c r="B76" s="9" t="s">
        <v>662</v>
      </c>
    </row>
    <row r="77" spans="1:2" x14ac:dyDescent="0.2">
      <c r="A77" s="2">
        <v>76</v>
      </c>
      <c r="B77" s="9" t="s">
        <v>287</v>
      </c>
    </row>
    <row r="78" spans="1:2" x14ac:dyDescent="0.2">
      <c r="A78" s="2">
        <v>77</v>
      </c>
      <c r="B78" s="9" t="s">
        <v>661</v>
      </c>
    </row>
    <row r="79" spans="1:2" x14ac:dyDescent="0.2">
      <c r="A79" s="2">
        <v>78</v>
      </c>
      <c r="B79" s="9" t="s">
        <v>660</v>
      </c>
    </row>
    <row r="80" spans="1:2" x14ac:dyDescent="0.2">
      <c r="A80" s="2">
        <v>79</v>
      </c>
      <c r="B80" s="9" t="s">
        <v>659</v>
      </c>
    </row>
    <row r="81" spans="1:2" x14ac:dyDescent="0.2">
      <c r="A81" s="2">
        <v>80</v>
      </c>
      <c r="B81" s="9" t="s">
        <v>658</v>
      </c>
    </row>
    <row r="82" spans="1:2" x14ac:dyDescent="0.2">
      <c r="A82" s="2">
        <v>81</v>
      </c>
      <c r="B82" s="9" t="s">
        <v>658</v>
      </c>
    </row>
    <row r="83" spans="1:2" x14ac:dyDescent="0.2">
      <c r="A83" s="2">
        <v>82</v>
      </c>
      <c r="B83" s="9" t="s">
        <v>659</v>
      </c>
    </row>
    <row r="84" spans="1:2" x14ac:dyDescent="0.2">
      <c r="A84" s="2">
        <v>83</v>
      </c>
      <c r="B84" s="9" t="s">
        <v>660</v>
      </c>
    </row>
    <row r="85" spans="1:2" x14ac:dyDescent="0.2">
      <c r="A85" s="2">
        <v>84</v>
      </c>
      <c r="B85" s="9" t="s">
        <v>661</v>
      </c>
    </row>
    <row r="86" spans="1:2" x14ac:dyDescent="0.2">
      <c r="A86" s="2">
        <v>85</v>
      </c>
      <c r="B86" s="9" t="s">
        <v>287</v>
      </c>
    </row>
    <row r="87" spans="1:2" x14ac:dyDescent="0.2">
      <c r="A87" s="2">
        <v>86</v>
      </c>
      <c r="B87" s="9" t="s">
        <v>662</v>
      </c>
    </row>
    <row r="88" spans="1:2" x14ac:dyDescent="0.2">
      <c r="A88" s="2">
        <v>87</v>
      </c>
      <c r="B88" s="9" t="s">
        <v>663</v>
      </c>
    </row>
    <row r="89" spans="1:2" x14ac:dyDescent="0.2">
      <c r="A89" s="2">
        <v>88</v>
      </c>
      <c r="B89" s="9" t="s">
        <v>664</v>
      </c>
    </row>
    <row r="90" spans="1:2" x14ac:dyDescent="0.2">
      <c r="A90" s="2">
        <v>89</v>
      </c>
      <c r="B90" s="9" t="s">
        <v>665</v>
      </c>
    </row>
    <row r="91" spans="1:2" x14ac:dyDescent="0.2">
      <c r="A91" s="2">
        <v>90</v>
      </c>
      <c r="B91" s="9" t="s">
        <v>666</v>
      </c>
    </row>
    <row r="92" spans="1:2" x14ac:dyDescent="0.2">
      <c r="A92" s="2">
        <v>91</v>
      </c>
      <c r="B92" s="9" t="s">
        <v>666</v>
      </c>
    </row>
    <row r="93" spans="1:2" x14ac:dyDescent="0.2">
      <c r="A93" s="2">
        <v>92</v>
      </c>
      <c r="B93" s="9" t="s">
        <v>665</v>
      </c>
    </row>
    <row r="94" spans="1:2" x14ac:dyDescent="0.2">
      <c r="A94" s="2">
        <v>93</v>
      </c>
      <c r="B94" s="9" t="s">
        <v>664</v>
      </c>
    </row>
    <row r="95" spans="1:2" x14ac:dyDescent="0.2">
      <c r="A95" s="2">
        <v>94</v>
      </c>
      <c r="B95" s="9" t="s">
        <v>663</v>
      </c>
    </row>
    <row r="96" spans="1:2" x14ac:dyDescent="0.2">
      <c r="A96" s="2">
        <v>95</v>
      </c>
      <c r="B96" s="9" t="s">
        <v>662</v>
      </c>
    </row>
    <row r="97" spans="1:2" x14ac:dyDescent="0.2">
      <c r="A97" s="2">
        <v>96</v>
      </c>
      <c r="B97" s="9" t="s">
        <v>287</v>
      </c>
    </row>
    <row r="98" spans="1:2" x14ac:dyDescent="0.2">
      <c r="A98" s="2">
        <v>97</v>
      </c>
      <c r="B98" s="9" t="s">
        <v>661</v>
      </c>
    </row>
    <row r="99" spans="1:2" x14ac:dyDescent="0.2">
      <c r="A99" s="2">
        <v>98</v>
      </c>
      <c r="B99" s="9" t="s">
        <v>660</v>
      </c>
    </row>
    <row r="100" spans="1:2" x14ac:dyDescent="0.2">
      <c r="A100" s="2">
        <v>99</v>
      </c>
      <c r="B100" s="9" t="s">
        <v>659</v>
      </c>
    </row>
    <row r="101" spans="1:2" x14ac:dyDescent="0.2">
      <c r="A101" s="2">
        <v>100</v>
      </c>
      <c r="B101" s="9" t="s">
        <v>658</v>
      </c>
    </row>
    <row r="102" spans="1:2" x14ac:dyDescent="0.2">
      <c r="A102" s="2">
        <v>101</v>
      </c>
      <c r="B102" s="9" t="s">
        <v>658</v>
      </c>
    </row>
    <row r="103" spans="1:2" x14ac:dyDescent="0.2">
      <c r="A103" s="2">
        <v>102</v>
      </c>
      <c r="B103" s="9" t="s">
        <v>659</v>
      </c>
    </row>
    <row r="104" spans="1:2" x14ac:dyDescent="0.2">
      <c r="A104" s="2">
        <v>103</v>
      </c>
      <c r="B104" s="9" t="s">
        <v>660</v>
      </c>
    </row>
    <row r="105" spans="1:2" x14ac:dyDescent="0.2">
      <c r="A105" s="2">
        <v>104</v>
      </c>
      <c r="B105" s="9" t="s">
        <v>661</v>
      </c>
    </row>
    <row r="106" spans="1:2" x14ac:dyDescent="0.2">
      <c r="A106" s="2">
        <v>105</v>
      </c>
      <c r="B106" s="9" t="s">
        <v>287</v>
      </c>
    </row>
    <row r="107" spans="1:2" x14ac:dyDescent="0.2">
      <c r="A107" s="2">
        <v>106</v>
      </c>
      <c r="B107" s="9" t="s">
        <v>662</v>
      </c>
    </row>
    <row r="108" spans="1:2" x14ac:dyDescent="0.2">
      <c r="A108" s="2">
        <v>107</v>
      </c>
      <c r="B108" s="9" t="s">
        <v>663</v>
      </c>
    </row>
    <row r="109" spans="1:2" x14ac:dyDescent="0.2">
      <c r="A109" s="2">
        <v>108</v>
      </c>
      <c r="B109" s="9" t="s">
        <v>664</v>
      </c>
    </row>
    <row r="110" spans="1:2" x14ac:dyDescent="0.2">
      <c r="A110" s="2">
        <v>109</v>
      </c>
      <c r="B110" s="9" t="s">
        <v>665</v>
      </c>
    </row>
    <row r="111" spans="1:2" x14ac:dyDescent="0.2">
      <c r="A111" s="2">
        <v>110</v>
      </c>
      <c r="B111" s="9" t="s">
        <v>666</v>
      </c>
    </row>
    <row r="112" spans="1:2" x14ac:dyDescent="0.2">
      <c r="A112" s="2">
        <v>111</v>
      </c>
      <c r="B112" s="9" t="s">
        <v>666</v>
      </c>
    </row>
    <row r="113" spans="1:2" x14ac:dyDescent="0.2">
      <c r="A113" s="2">
        <v>112</v>
      </c>
      <c r="B113" s="9" t="s">
        <v>665</v>
      </c>
    </row>
    <row r="114" spans="1:2" x14ac:dyDescent="0.2">
      <c r="A114" s="2">
        <v>113</v>
      </c>
      <c r="B114" s="9" t="s">
        <v>664</v>
      </c>
    </row>
    <row r="115" spans="1:2" x14ac:dyDescent="0.2">
      <c r="A115" s="2">
        <v>114</v>
      </c>
      <c r="B115" s="9" t="s">
        <v>663</v>
      </c>
    </row>
    <row r="116" spans="1:2" x14ac:dyDescent="0.2">
      <c r="A116" s="2">
        <v>115</v>
      </c>
      <c r="B116" s="9" t="s">
        <v>662</v>
      </c>
    </row>
    <row r="117" spans="1:2" x14ac:dyDescent="0.2">
      <c r="A117" s="2">
        <v>116</v>
      </c>
      <c r="B117" s="9" t="s">
        <v>287</v>
      </c>
    </row>
    <row r="118" spans="1:2" x14ac:dyDescent="0.2">
      <c r="A118" s="2">
        <v>117</v>
      </c>
      <c r="B118" s="9" t="s">
        <v>661</v>
      </c>
    </row>
    <row r="119" spans="1:2" x14ac:dyDescent="0.2">
      <c r="A119" s="2">
        <v>118</v>
      </c>
      <c r="B119" s="9" t="s">
        <v>660</v>
      </c>
    </row>
    <row r="120" spans="1:2" x14ac:dyDescent="0.2">
      <c r="A120" s="2">
        <v>119</v>
      </c>
      <c r="B120" s="9" t="s">
        <v>659</v>
      </c>
    </row>
    <row r="121" spans="1:2" x14ac:dyDescent="0.2">
      <c r="A121" s="2">
        <v>120</v>
      </c>
      <c r="B121" s="9" t="s">
        <v>658</v>
      </c>
    </row>
    <row r="122" spans="1:2" x14ac:dyDescent="0.2">
      <c r="A122" s="2">
        <v>121</v>
      </c>
      <c r="B122" s="9" t="s">
        <v>658</v>
      </c>
    </row>
    <row r="123" spans="1:2" x14ac:dyDescent="0.2">
      <c r="A123" s="2">
        <v>122</v>
      </c>
      <c r="B123" s="9" t="s">
        <v>659</v>
      </c>
    </row>
    <row r="124" spans="1:2" x14ac:dyDescent="0.2">
      <c r="A124" s="2">
        <v>123</v>
      </c>
      <c r="B124" s="9" t="s">
        <v>660</v>
      </c>
    </row>
    <row r="125" spans="1:2" x14ac:dyDescent="0.2">
      <c r="A125" s="2">
        <v>124</v>
      </c>
      <c r="B125" s="9" t="s">
        <v>661</v>
      </c>
    </row>
    <row r="126" spans="1:2" x14ac:dyDescent="0.2">
      <c r="A126" s="2">
        <v>125</v>
      </c>
      <c r="B126" s="9" t="s">
        <v>287</v>
      </c>
    </row>
    <row r="127" spans="1:2" x14ac:dyDescent="0.2">
      <c r="A127" s="2">
        <v>126</v>
      </c>
      <c r="B127" s="9" t="s">
        <v>662</v>
      </c>
    </row>
    <row r="128" spans="1:2" x14ac:dyDescent="0.2">
      <c r="A128" s="2">
        <v>127</v>
      </c>
      <c r="B128" s="9" t="s">
        <v>663</v>
      </c>
    </row>
    <row r="129" spans="1:2" x14ac:dyDescent="0.2">
      <c r="A129" s="2">
        <v>128</v>
      </c>
      <c r="B129" s="9" t="s">
        <v>664</v>
      </c>
    </row>
    <row r="130" spans="1:2" x14ac:dyDescent="0.2">
      <c r="A130" s="2">
        <v>129</v>
      </c>
      <c r="B130" s="9" t="s">
        <v>665</v>
      </c>
    </row>
    <row r="131" spans="1:2" x14ac:dyDescent="0.2">
      <c r="A131" s="2">
        <v>130</v>
      </c>
      <c r="B131" s="9" t="s">
        <v>666</v>
      </c>
    </row>
    <row r="132" spans="1:2" x14ac:dyDescent="0.2">
      <c r="A132" s="2">
        <v>131</v>
      </c>
      <c r="B132" s="9" t="s">
        <v>666</v>
      </c>
    </row>
    <row r="133" spans="1:2" x14ac:dyDescent="0.2">
      <c r="A133" s="2">
        <v>132</v>
      </c>
      <c r="B133" s="9" t="s">
        <v>665</v>
      </c>
    </row>
    <row r="134" spans="1:2" x14ac:dyDescent="0.2">
      <c r="A134" s="2">
        <v>133</v>
      </c>
      <c r="B134" s="9" t="s">
        <v>664</v>
      </c>
    </row>
    <row r="135" spans="1:2" x14ac:dyDescent="0.2">
      <c r="A135" s="2">
        <v>134</v>
      </c>
      <c r="B135" s="9" t="s">
        <v>663</v>
      </c>
    </row>
    <row r="136" spans="1:2" x14ac:dyDescent="0.2">
      <c r="A136" s="2">
        <v>135</v>
      </c>
      <c r="B136" s="9" t="s">
        <v>662</v>
      </c>
    </row>
    <row r="137" spans="1:2" x14ac:dyDescent="0.2">
      <c r="A137" s="2">
        <v>136</v>
      </c>
      <c r="B137" s="9" t="s">
        <v>287</v>
      </c>
    </row>
    <row r="138" spans="1:2" x14ac:dyDescent="0.2">
      <c r="A138" s="2">
        <v>137</v>
      </c>
      <c r="B138" s="9" t="s">
        <v>661</v>
      </c>
    </row>
    <row r="139" spans="1:2" x14ac:dyDescent="0.2">
      <c r="A139" s="2">
        <v>138</v>
      </c>
      <c r="B139" s="9" t="s">
        <v>660</v>
      </c>
    </row>
    <row r="140" spans="1:2" x14ac:dyDescent="0.2">
      <c r="A140" s="2">
        <v>139</v>
      </c>
      <c r="B140" s="9" t="s">
        <v>659</v>
      </c>
    </row>
    <row r="141" spans="1:2" x14ac:dyDescent="0.2">
      <c r="A141" s="2">
        <v>140</v>
      </c>
      <c r="B141" s="9" t="s">
        <v>658</v>
      </c>
    </row>
    <row r="142" spans="1:2" x14ac:dyDescent="0.2">
      <c r="A142" s="2">
        <v>141</v>
      </c>
      <c r="B142" s="9" t="s">
        <v>658</v>
      </c>
    </row>
    <row r="143" spans="1:2" x14ac:dyDescent="0.2">
      <c r="A143" s="2">
        <v>142</v>
      </c>
      <c r="B143" s="9" t="s">
        <v>659</v>
      </c>
    </row>
    <row r="144" spans="1:2" x14ac:dyDescent="0.2">
      <c r="A144" s="2">
        <v>143</v>
      </c>
      <c r="B144" s="9" t="s">
        <v>660</v>
      </c>
    </row>
    <row r="145" spans="1:2" x14ac:dyDescent="0.2">
      <c r="A145" s="2">
        <v>144</v>
      </c>
      <c r="B145" s="9" t="s">
        <v>661</v>
      </c>
    </row>
    <row r="146" spans="1:2" x14ac:dyDescent="0.2">
      <c r="A146" s="2">
        <v>145</v>
      </c>
      <c r="B146" s="9" t="s">
        <v>287</v>
      </c>
    </row>
    <row r="147" spans="1:2" x14ac:dyDescent="0.2">
      <c r="A147" s="2">
        <v>146</v>
      </c>
      <c r="B147" s="9" t="s">
        <v>662</v>
      </c>
    </row>
    <row r="148" spans="1:2" x14ac:dyDescent="0.2">
      <c r="A148" s="2">
        <v>147</v>
      </c>
      <c r="B148" s="9" t="s">
        <v>663</v>
      </c>
    </row>
    <row r="149" spans="1:2" x14ac:dyDescent="0.2">
      <c r="A149" s="2">
        <v>148</v>
      </c>
      <c r="B149" s="9" t="s">
        <v>664</v>
      </c>
    </row>
    <row r="150" spans="1:2" x14ac:dyDescent="0.2">
      <c r="A150" s="2">
        <v>149</v>
      </c>
      <c r="B150" s="9" t="s">
        <v>665</v>
      </c>
    </row>
    <row r="151" spans="1:2" x14ac:dyDescent="0.2">
      <c r="A151" s="2">
        <v>150</v>
      </c>
      <c r="B151" s="9" t="s">
        <v>666</v>
      </c>
    </row>
    <row r="152" spans="1:2" x14ac:dyDescent="0.2">
      <c r="A152" s="2">
        <v>151</v>
      </c>
      <c r="B152" s="9" t="s">
        <v>666</v>
      </c>
    </row>
    <row r="153" spans="1:2" x14ac:dyDescent="0.2">
      <c r="A153" s="2">
        <v>152</v>
      </c>
      <c r="B153" s="9" t="s">
        <v>665</v>
      </c>
    </row>
    <row r="154" spans="1:2" x14ac:dyDescent="0.2">
      <c r="A154" s="2">
        <v>153</v>
      </c>
      <c r="B154" s="9" t="s">
        <v>664</v>
      </c>
    </row>
    <row r="155" spans="1:2" x14ac:dyDescent="0.2">
      <c r="A155" s="2">
        <v>154</v>
      </c>
      <c r="B155" s="9" t="s">
        <v>663</v>
      </c>
    </row>
    <row r="156" spans="1:2" x14ac:dyDescent="0.2">
      <c r="A156" s="2">
        <v>155</v>
      </c>
      <c r="B156" s="9" t="s">
        <v>662</v>
      </c>
    </row>
    <row r="157" spans="1:2" x14ac:dyDescent="0.2">
      <c r="A157" s="2">
        <v>156</v>
      </c>
      <c r="B157" s="9" t="s">
        <v>287</v>
      </c>
    </row>
    <row r="158" spans="1:2" x14ac:dyDescent="0.2">
      <c r="A158" s="2">
        <v>157</v>
      </c>
      <c r="B158" s="9" t="s">
        <v>661</v>
      </c>
    </row>
    <row r="159" spans="1:2" x14ac:dyDescent="0.2">
      <c r="A159" s="2">
        <v>158</v>
      </c>
      <c r="B159" s="9" t="s">
        <v>660</v>
      </c>
    </row>
    <row r="160" spans="1:2" x14ac:dyDescent="0.2">
      <c r="A160" s="2">
        <v>159</v>
      </c>
      <c r="B160" s="9" t="s">
        <v>659</v>
      </c>
    </row>
    <row r="161" spans="1:2" x14ac:dyDescent="0.2">
      <c r="A161" s="2">
        <v>160</v>
      </c>
      <c r="B161" s="9" t="s">
        <v>658</v>
      </c>
    </row>
    <row r="162" spans="1:2" x14ac:dyDescent="0.2">
      <c r="A162" s="2">
        <v>161</v>
      </c>
      <c r="B162" s="9" t="s">
        <v>658</v>
      </c>
    </row>
    <row r="163" spans="1:2" x14ac:dyDescent="0.2">
      <c r="A163" s="2">
        <v>162</v>
      </c>
      <c r="B163" s="9" t="s">
        <v>659</v>
      </c>
    </row>
    <row r="164" spans="1:2" x14ac:dyDescent="0.2">
      <c r="A164" s="2">
        <v>163</v>
      </c>
      <c r="B164" s="9" t="s">
        <v>660</v>
      </c>
    </row>
    <row r="165" spans="1:2" x14ac:dyDescent="0.2">
      <c r="A165" s="2">
        <v>164</v>
      </c>
      <c r="B165" s="9" t="s">
        <v>661</v>
      </c>
    </row>
    <row r="166" spans="1:2" x14ac:dyDescent="0.2">
      <c r="A166" s="2">
        <v>165</v>
      </c>
      <c r="B166" s="9" t="s">
        <v>287</v>
      </c>
    </row>
    <row r="167" spans="1:2" x14ac:dyDescent="0.2">
      <c r="A167" s="2">
        <v>166</v>
      </c>
      <c r="B167" s="9" t="s">
        <v>662</v>
      </c>
    </row>
    <row r="168" spans="1:2" x14ac:dyDescent="0.2">
      <c r="A168" s="2">
        <v>167</v>
      </c>
      <c r="B168" s="9" t="s">
        <v>663</v>
      </c>
    </row>
    <row r="169" spans="1:2" x14ac:dyDescent="0.2">
      <c r="A169" s="2">
        <v>168</v>
      </c>
      <c r="B169" s="9" t="s">
        <v>664</v>
      </c>
    </row>
    <row r="170" spans="1:2" x14ac:dyDescent="0.2">
      <c r="A170" s="2">
        <v>169</v>
      </c>
      <c r="B170" s="9" t="s">
        <v>665</v>
      </c>
    </row>
    <row r="171" spans="1:2" x14ac:dyDescent="0.2">
      <c r="A171" s="2">
        <v>170</v>
      </c>
      <c r="B171" s="9" t="s">
        <v>666</v>
      </c>
    </row>
    <row r="172" spans="1:2" x14ac:dyDescent="0.2">
      <c r="A172" s="2">
        <v>171</v>
      </c>
      <c r="B172" s="9" t="s">
        <v>666</v>
      </c>
    </row>
    <row r="173" spans="1:2" x14ac:dyDescent="0.2">
      <c r="A173" s="2">
        <v>172</v>
      </c>
      <c r="B173" s="9" t="s">
        <v>665</v>
      </c>
    </row>
    <row r="174" spans="1:2" x14ac:dyDescent="0.2">
      <c r="A174" s="2">
        <v>173</v>
      </c>
      <c r="B174" s="9" t="s">
        <v>664</v>
      </c>
    </row>
    <row r="175" spans="1:2" x14ac:dyDescent="0.2">
      <c r="A175" s="2">
        <v>174</v>
      </c>
      <c r="B175" s="9" t="s">
        <v>663</v>
      </c>
    </row>
    <row r="176" spans="1:2" x14ac:dyDescent="0.2">
      <c r="A176" s="2">
        <v>175</v>
      </c>
      <c r="B176" s="9" t="s">
        <v>662</v>
      </c>
    </row>
    <row r="177" spans="1:2" x14ac:dyDescent="0.2">
      <c r="A177" s="2">
        <v>176</v>
      </c>
      <c r="B177" s="9" t="s">
        <v>287</v>
      </c>
    </row>
    <row r="178" spans="1:2" x14ac:dyDescent="0.2">
      <c r="A178" s="2">
        <v>177</v>
      </c>
      <c r="B178" s="9" t="s">
        <v>661</v>
      </c>
    </row>
    <row r="179" spans="1:2" x14ac:dyDescent="0.2">
      <c r="A179" s="2">
        <v>178</v>
      </c>
      <c r="B179" s="9" t="s">
        <v>660</v>
      </c>
    </row>
    <row r="180" spans="1:2" x14ac:dyDescent="0.2">
      <c r="A180" s="2">
        <v>179</v>
      </c>
      <c r="B180" s="9" t="s">
        <v>659</v>
      </c>
    </row>
    <row r="181" spans="1:2" x14ac:dyDescent="0.2">
      <c r="A181" s="2">
        <v>180</v>
      </c>
      <c r="B181" s="9" t="s">
        <v>658</v>
      </c>
    </row>
    <row r="182" spans="1:2" x14ac:dyDescent="0.2">
      <c r="A182" s="2">
        <v>181</v>
      </c>
      <c r="B182" s="9" t="s">
        <v>658</v>
      </c>
    </row>
    <row r="183" spans="1:2" x14ac:dyDescent="0.2">
      <c r="A183" s="2">
        <v>182</v>
      </c>
      <c r="B183" s="9" t="s">
        <v>659</v>
      </c>
    </row>
    <row r="184" spans="1:2" x14ac:dyDescent="0.2">
      <c r="A184" s="2">
        <v>183</v>
      </c>
      <c r="B184" s="9" t="s">
        <v>660</v>
      </c>
    </row>
    <row r="185" spans="1:2" x14ac:dyDescent="0.2">
      <c r="A185" s="2">
        <v>184</v>
      </c>
      <c r="B185" s="9" t="s">
        <v>661</v>
      </c>
    </row>
    <row r="186" spans="1:2" x14ac:dyDescent="0.2">
      <c r="A186" s="2">
        <v>185</v>
      </c>
      <c r="B186" s="9" t="s">
        <v>287</v>
      </c>
    </row>
    <row r="187" spans="1:2" x14ac:dyDescent="0.2">
      <c r="A187" s="2">
        <v>186</v>
      </c>
      <c r="B187" s="9" t="s">
        <v>662</v>
      </c>
    </row>
    <row r="188" spans="1:2" x14ac:dyDescent="0.2">
      <c r="A188" s="2">
        <v>187</v>
      </c>
      <c r="B188" s="9" t="s">
        <v>663</v>
      </c>
    </row>
    <row r="189" spans="1:2" x14ac:dyDescent="0.2">
      <c r="A189" s="2">
        <v>188</v>
      </c>
      <c r="B189" s="9" t="s">
        <v>664</v>
      </c>
    </row>
    <row r="190" spans="1:2" x14ac:dyDescent="0.2">
      <c r="A190" s="2">
        <v>189</v>
      </c>
      <c r="B190" s="9" t="s">
        <v>665</v>
      </c>
    </row>
    <row r="191" spans="1:2" x14ac:dyDescent="0.2">
      <c r="A191" s="2">
        <v>190</v>
      </c>
      <c r="B191" s="9" t="s">
        <v>666</v>
      </c>
    </row>
    <row r="192" spans="1:2" x14ac:dyDescent="0.2">
      <c r="A192" s="2">
        <v>191</v>
      </c>
      <c r="B192" s="9" t="s">
        <v>666</v>
      </c>
    </row>
    <row r="193" spans="1:2" x14ac:dyDescent="0.2">
      <c r="A193" s="2">
        <v>192</v>
      </c>
      <c r="B193" s="9" t="s">
        <v>665</v>
      </c>
    </row>
    <row r="194" spans="1:2" x14ac:dyDescent="0.2">
      <c r="A194" s="2">
        <v>193</v>
      </c>
      <c r="B194" s="9" t="s">
        <v>664</v>
      </c>
    </row>
    <row r="195" spans="1:2" x14ac:dyDescent="0.2">
      <c r="A195" s="2">
        <v>194</v>
      </c>
      <c r="B195" s="9" t="s">
        <v>663</v>
      </c>
    </row>
    <row r="196" spans="1:2" x14ac:dyDescent="0.2">
      <c r="A196" s="2">
        <v>195</v>
      </c>
      <c r="B196" s="9" t="s">
        <v>662</v>
      </c>
    </row>
    <row r="197" spans="1:2" x14ac:dyDescent="0.2">
      <c r="A197" s="2">
        <v>196</v>
      </c>
      <c r="B197" s="9" t="s">
        <v>287</v>
      </c>
    </row>
    <row r="198" spans="1:2" x14ac:dyDescent="0.2">
      <c r="A198" s="2">
        <v>197</v>
      </c>
      <c r="B198" s="9" t="s">
        <v>661</v>
      </c>
    </row>
    <row r="199" spans="1:2" x14ac:dyDescent="0.2">
      <c r="A199" s="2">
        <v>198</v>
      </c>
      <c r="B199" s="9" t="s">
        <v>660</v>
      </c>
    </row>
    <row r="200" spans="1:2" x14ac:dyDescent="0.2">
      <c r="A200" s="2">
        <v>199</v>
      </c>
      <c r="B200" s="9" t="s">
        <v>659</v>
      </c>
    </row>
    <row r="201" spans="1:2" x14ac:dyDescent="0.2">
      <c r="A201" s="2">
        <v>200</v>
      </c>
      <c r="B201" s="9" t="s">
        <v>658</v>
      </c>
    </row>
    <row r="202" spans="1:2" x14ac:dyDescent="0.2">
      <c r="A202" s="2">
        <v>201</v>
      </c>
      <c r="B202" s="9" t="s">
        <v>658</v>
      </c>
    </row>
    <row r="203" spans="1:2" x14ac:dyDescent="0.2">
      <c r="A203" s="2">
        <v>202</v>
      </c>
      <c r="B203" s="9" t="s">
        <v>659</v>
      </c>
    </row>
    <row r="204" spans="1:2" x14ac:dyDescent="0.2">
      <c r="A204" s="2">
        <v>203</v>
      </c>
      <c r="B204" s="9" t="s">
        <v>660</v>
      </c>
    </row>
    <row r="205" spans="1:2" x14ac:dyDescent="0.2">
      <c r="A205" s="2">
        <v>204</v>
      </c>
      <c r="B205" s="9" t="s">
        <v>661</v>
      </c>
    </row>
    <row r="206" spans="1:2" x14ac:dyDescent="0.2">
      <c r="A206" s="2">
        <v>205</v>
      </c>
      <c r="B206" s="9" t="s">
        <v>287</v>
      </c>
    </row>
    <row r="207" spans="1:2" x14ac:dyDescent="0.2">
      <c r="A207" s="2">
        <v>206</v>
      </c>
      <c r="B207" s="9" t="s">
        <v>662</v>
      </c>
    </row>
    <row r="208" spans="1:2" x14ac:dyDescent="0.2">
      <c r="A208" s="2">
        <v>207</v>
      </c>
      <c r="B208" s="9" t="s">
        <v>663</v>
      </c>
    </row>
    <row r="209" spans="1:2" x14ac:dyDescent="0.2">
      <c r="A209" s="2">
        <v>208</v>
      </c>
      <c r="B209" s="9" t="s">
        <v>664</v>
      </c>
    </row>
    <row r="210" spans="1:2" x14ac:dyDescent="0.2">
      <c r="A210" s="2">
        <v>209</v>
      </c>
      <c r="B210" s="9" t="s">
        <v>665</v>
      </c>
    </row>
    <row r="211" spans="1:2" x14ac:dyDescent="0.2">
      <c r="A211" s="2">
        <v>210</v>
      </c>
      <c r="B211" s="9" t="s">
        <v>666</v>
      </c>
    </row>
    <row r="212" spans="1:2" x14ac:dyDescent="0.2">
      <c r="A212" s="2">
        <v>211</v>
      </c>
      <c r="B212" s="9" t="s">
        <v>666</v>
      </c>
    </row>
    <row r="213" spans="1:2" x14ac:dyDescent="0.2">
      <c r="A213" s="2">
        <v>212</v>
      </c>
      <c r="B213" s="9" t="s">
        <v>665</v>
      </c>
    </row>
    <row r="214" spans="1:2" x14ac:dyDescent="0.2">
      <c r="A214" s="2">
        <v>213</v>
      </c>
      <c r="B214" s="9" t="s">
        <v>664</v>
      </c>
    </row>
    <row r="215" spans="1:2" x14ac:dyDescent="0.2">
      <c r="A215" s="2">
        <v>214</v>
      </c>
      <c r="B215" s="9" t="s">
        <v>663</v>
      </c>
    </row>
    <row r="216" spans="1:2" x14ac:dyDescent="0.2">
      <c r="A216" s="2">
        <v>215</v>
      </c>
      <c r="B216" s="9" t="s">
        <v>662</v>
      </c>
    </row>
    <row r="217" spans="1:2" x14ac:dyDescent="0.2">
      <c r="A217" s="2">
        <v>216</v>
      </c>
      <c r="B217" s="9" t="s">
        <v>287</v>
      </c>
    </row>
    <row r="218" spans="1:2" x14ac:dyDescent="0.2">
      <c r="A218" s="2">
        <v>217</v>
      </c>
      <c r="B218" s="9" t="s">
        <v>661</v>
      </c>
    </row>
    <row r="219" spans="1:2" x14ac:dyDescent="0.2">
      <c r="A219" s="2">
        <v>218</v>
      </c>
      <c r="B219" s="9" t="s">
        <v>660</v>
      </c>
    </row>
    <row r="220" spans="1:2" x14ac:dyDescent="0.2">
      <c r="A220" s="2">
        <v>219</v>
      </c>
      <c r="B220" s="9" t="s">
        <v>659</v>
      </c>
    </row>
    <row r="221" spans="1:2" x14ac:dyDescent="0.2">
      <c r="A221" s="2">
        <v>220</v>
      </c>
      <c r="B221" s="9" t="s">
        <v>658</v>
      </c>
    </row>
    <row r="222" spans="1:2" x14ac:dyDescent="0.2">
      <c r="A222" s="2">
        <v>221</v>
      </c>
      <c r="B222" s="9" t="s">
        <v>658</v>
      </c>
    </row>
    <row r="223" spans="1:2" x14ac:dyDescent="0.2">
      <c r="A223" s="2">
        <v>222</v>
      </c>
      <c r="B223" s="9" t="s">
        <v>659</v>
      </c>
    </row>
    <row r="224" spans="1:2" x14ac:dyDescent="0.2">
      <c r="A224" s="2">
        <v>223</v>
      </c>
      <c r="B224" s="9" t="s">
        <v>660</v>
      </c>
    </row>
    <row r="225" spans="1:2" x14ac:dyDescent="0.2">
      <c r="A225" s="2">
        <v>224</v>
      </c>
      <c r="B225" s="9" t="s">
        <v>661</v>
      </c>
    </row>
    <row r="226" spans="1:2" x14ac:dyDescent="0.2">
      <c r="A226" s="2">
        <v>225</v>
      </c>
      <c r="B226" s="9" t="s">
        <v>287</v>
      </c>
    </row>
    <row r="227" spans="1:2" x14ac:dyDescent="0.2">
      <c r="A227" s="2">
        <v>226</v>
      </c>
      <c r="B227" s="9" t="s">
        <v>662</v>
      </c>
    </row>
    <row r="228" spans="1:2" x14ac:dyDescent="0.2">
      <c r="A228" s="2">
        <v>227</v>
      </c>
      <c r="B228" s="9" t="s">
        <v>663</v>
      </c>
    </row>
    <row r="229" spans="1:2" x14ac:dyDescent="0.2">
      <c r="A229" s="2">
        <v>228</v>
      </c>
      <c r="B229" s="9" t="s">
        <v>664</v>
      </c>
    </row>
    <row r="230" spans="1:2" x14ac:dyDescent="0.2">
      <c r="A230" s="2">
        <v>229</v>
      </c>
      <c r="B230" s="9" t="s">
        <v>665</v>
      </c>
    </row>
    <row r="231" spans="1:2" x14ac:dyDescent="0.2">
      <c r="A231" s="2">
        <v>230</v>
      </c>
      <c r="B231" s="9" t="s">
        <v>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51CA-0943-2940-AF11-F80E5AC387B6}">
  <dimension ref="A1:AY31"/>
  <sheetViews>
    <sheetView showGridLines="0" topLeftCell="T1" zoomScale="130" zoomScaleNormal="130" workbookViewId="0">
      <selection activeCell="V27" sqref="V27"/>
    </sheetView>
  </sheetViews>
  <sheetFormatPr baseColWidth="10" defaultRowHeight="15" x14ac:dyDescent="0.2"/>
  <cols>
    <col min="1" max="11" width="10.83203125" style="2"/>
    <col min="12" max="21" width="14.6640625" style="2" customWidth="1"/>
    <col min="22" max="41" width="10.83203125" style="2"/>
    <col min="42" max="50" width="11" style="2" bestFit="1" customWidth="1"/>
    <col min="51" max="51" width="11.1640625" style="2" bestFit="1" customWidth="1"/>
    <col min="52" max="16384" width="10.83203125" style="2"/>
  </cols>
  <sheetData>
    <row r="1" spans="1:51" x14ac:dyDescent="0.2">
      <c r="B1" s="17" t="s">
        <v>679</v>
      </c>
      <c r="C1" s="18"/>
      <c r="D1" s="18"/>
      <c r="E1" s="18"/>
      <c r="F1" s="18"/>
      <c r="G1" s="18"/>
      <c r="H1" s="18"/>
      <c r="I1" s="18"/>
      <c r="J1" s="18"/>
      <c r="K1" s="19"/>
      <c r="L1" s="17" t="s">
        <v>680</v>
      </c>
      <c r="M1" s="18"/>
      <c r="N1" s="18"/>
      <c r="O1" s="18"/>
      <c r="P1" s="18"/>
      <c r="Q1" s="18"/>
      <c r="R1" s="18"/>
      <c r="S1" s="18"/>
      <c r="T1" s="18"/>
      <c r="U1" s="19"/>
      <c r="V1" s="17" t="s">
        <v>683</v>
      </c>
      <c r="W1" s="18"/>
      <c r="X1" s="18"/>
      <c r="Y1" s="18"/>
      <c r="Z1" s="18"/>
      <c r="AA1" s="18"/>
      <c r="AB1" s="18"/>
      <c r="AC1" s="18"/>
      <c r="AD1" s="18"/>
      <c r="AE1" s="19"/>
      <c r="AF1" s="17" t="s">
        <v>681</v>
      </c>
      <c r="AG1" s="18"/>
      <c r="AH1" s="18"/>
      <c r="AI1" s="18"/>
      <c r="AJ1" s="18"/>
      <c r="AK1" s="18"/>
      <c r="AL1" s="18"/>
      <c r="AM1" s="18"/>
      <c r="AN1" s="18"/>
      <c r="AO1" s="19"/>
      <c r="AP1" s="17" t="s">
        <v>682</v>
      </c>
      <c r="AQ1" s="18"/>
      <c r="AR1" s="18"/>
      <c r="AS1" s="18"/>
      <c r="AT1" s="18"/>
      <c r="AU1" s="18"/>
      <c r="AV1" s="18"/>
      <c r="AW1" s="18"/>
      <c r="AX1" s="18"/>
      <c r="AY1" s="19"/>
    </row>
    <row r="2" spans="1:51" x14ac:dyDescent="0.2">
      <c r="A2" s="2" t="s">
        <v>635</v>
      </c>
      <c r="B2" s="14" t="s">
        <v>658</v>
      </c>
      <c r="C2" s="15" t="s">
        <v>659</v>
      </c>
      <c r="D2" s="15" t="s">
        <v>660</v>
      </c>
      <c r="E2" s="15" t="s">
        <v>661</v>
      </c>
      <c r="F2" s="15" t="s">
        <v>287</v>
      </c>
      <c r="G2" s="15" t="s">
        <v>662</v>
      </c>
      <c r="H2" s="15" t="s">
        <v>663</v>
      </c>
      <c r="I2" s="15" t="s">
        <v>664</v>
      </c>
      <c r="J2" s="15" t="s">
        <v>665</v>
      </c>
      <c r="K2" s="16" t="s">
        <v>666</v>
      </c>
      <c r="L2" s="14" t="s">
        <v>658</v>
      </c>
      <c r="M2" s="15" t="s">
        <v>659</v>
      </c>
      <c r="N2" s="15" t="s">
        <v>660</v>
      </c>
      <c r="O2" s="15" t="s">
        <v>661</v>
      </c>
      <c r="P2" s="15" t="s">
        <v>287</v>
      </c>
      <c r="Q2" s="15" t="s">
        <v>662</v>
      </c>
      <c r="R2" s="15" t="s">
        <v>663</v>
      </c>
      <c r="S2" s="15" t="s">
        <v>664</v>
      </c>
      <c r="T2" s="15" t="s">
        <v>665</v>
      </c>
      <c r="U2" s="16" t="s">
        <v>666</v>
      </c>
      <c r="V2" s="14" t="s">
        <v>658</v>
      </c>
      <c r="W2" s="15" t="s">
        <v>659</v>
      </c>
      <c r="X2" s="15" t="s">
        <v>660</v>
      </c>
      <c r="Y2" s="15" t="s">
        <v>661</v>
      </c>
      <c r="Z2" s="15" t="s">
        <v>287</v>
      </c>
      <c r="AA2" s="15" t="s">
        <v>662</v>
      </c>
      <c r="AB2" s="15" t="s">
        <v>663</v>
      </c>
      <c r="AC2" s="15" t="s">
        <v>664</v>
      </c>
      <c r="AD2" s="15" t="s">
        <v>665</v>
      </c>
      <c r="AE2" s="16" t="s">
        <v>666</v>
      </c>
      <c r="AF2" s="14" t="s">
        <v>658</v>
      </c>
      <c r="AG2" s="15" t="s">
        <v>659</v>
      </c>
      <c r="AH2" s="15" t="s">
        <v>660</v>
      </c>
      <c r="AI2" s="15" t="s">
        <v>661</v>
      </c>
      <c r="AJ2" s="15" t="s">
        <v>287</v>
      </c>
      <c r="AK2" s="15" t="s">
        <v>662</v>
      </c>
      <c r="AL2" s="15" t="s">
        <v>663</v>
      </c>
      <c r="AM2" s="15" t="s">
        <v>664</v>
      </c>
      <c r="AN2" s="15" t="s">
        <v>665</v>
      </c>
      <c r="AO2" s="16" t="s">
        <v>666</v>
      </c>
      <c r="AP2" s="14" t="s">
        <v>658</v>
      </c>
      <c r="AQ2" s="15" t="s">
        <v>659</v>
      </c>
      <c r="AR2" s="15" t="s">
        <v>660</v>
      </c>
      <c r="AS2" s="15" t="s">
        <v>661</v>
      </c>
      <c r="AT2" s="15" t="s">
        <v>287</v>
      </c>
      <c r="AU2" s="15" t="s">
        <v>662</v>
      </c>
      <c r="AV2" s="15" t="s">
        <v>663</v>
      </c>
      <c r="AW2" s="15" t="s">
        <v>664</v>
      </c>
      <c r="AX2" s="15" t="s">
        <v>665</v>
      </c>
      <c r="AY2" s="16" t="s">
        <v>666</v>
      </c>
    </row>
    <row r="3" spans="1:51" x14ac:dyDescent="0.2">
      <c r="A3" s="2">
        <v>1</v>
      </c>
      <c r="B3" s="1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13">
        <v>10</v>
      </c>
      <c r="L3" s="12" t="str">
        <f>INDEX('Draft Board'!$A$2:$AB$622,MATCH('Post-Mortem'!B3,'Draft Board'!$F$2:$F$622,0),3)</f>
        <v>Kaio Jorge</v>
      </c>
      <c r="M3" s="12" t="str">
        <f>INDEX('Draft Board'!$A$2:$AB$622,MATCH('Post-Mortem'!C3,'Draft Board'!$F$2:$F$622,0),3)</f>
        <v>Vitor Roque</v>
      </c>
      <c r="N3" s="12" t="str">
        <f>INDEX('Draft Board'!$A$2:$AB$622,MATCH('Post-Mortem'!D3,'Draft Board'!$F$2:$F$622,0),3)</f>
        <v>Arrascaeta</v>
      </c>
      <c r="O3" s="12" t="str">
        <f>INDEX('Draft Board'!$A$2:$AB$622,MATCH('Post-Mortem'!E3,'Draft Board'!$F$2:$F$622,0),3)</f>
        <v>Pedro</v>
      </c>
      <c r="P3" s="12" t="str">
        <f>INDEX('Draft Board'!$A$2:$AB$622,MATCH('Post-Mortem'!F3,'Draft Board'!$F$2:$F$622,0),3)</f>
        <v>Matheus Pereira</v>
      </c>
      <c r="Q3" s="12" t="str">
        <f>INDEX('Draft Board'!$A$2:$AB$622,MATCH('Post-Mortem'!G3,'Draft Board'!$F$2:$F$622,0),3)</f>
        <v>Flaco López</v>
      </c>
      <c r="R3" s="12" t="str">
        <f>INDEX('Draft Board'!$A$2:$AB$622,MATCH('Post-Mortem'!H3,'Draft Board'!$F$2:$F$622,0),3)</f>
        <v>Carlos Vinícius</v>
      </c>
      <c r="S3" s="12" t="str">
        <f>INDEX('Draft Board'!$A$2:$AB$622,MATCH('Post-Mortem'!I3,'Draft Board'!$F$2:$F$622,0),3)</f>
        <v>Hulk</v>
      </c>
      <c r="T3" s="12" t="str">
        <f>INDEX('Draft Board'!$A$2:$AB$622,MATCH('Post-Mortem'!J3,'Draft Board'!$F$2:$F$622,0),3)</f>
        <v>Gabriel</v>
      </c>
      <c r="U3" s="22" t="str">
        <f>INDEX('Draft Board'!$A$2:$AB$622,MATCH('Post-Mortem'!K3,'Draft Board'!$F$2:$F$622,0),3)</f>
        <v>Yuri Alberto</v>
      </c>
      <c r="V3" s="12" t="str">
        <f>INDEX('Draft Board'!$A$2:$AB$622,MATCH('Post-Mortem'!B3,'Draft Board'!$F$2:$F$622,0),21)</f>
        <v>S+</v>
      </c>
      <c r="W3" s="12" t="str">
        <f>INDEX('Draft Board'!$A$2:$AB$622,MATCH('Post-Mortem'!C3,'Draft Board'!$F$2:$F$622,0),21)</f>
        <v>S+</v>
      </c>
      <c r="X3" s="12" t="str">
        <f>INDEX('Draft Board'!$A$2:$AB$622,MATCH('Post-Mortem'!D3,'Draft Board'!$F$2:$F$622,0),21)</f>
        <v>S+</v>
      </c>
      <c r="Y3" s="12" t="str">
        <f>INDEX('Draft Board'!$A$2:$AB$622,MATCH('Post-Mortem'!E3,'Draft Board'!$F$2:$F$622,0),21)</f>
        <v>S</v>
      </c>
      <c r="Z3" s="12" t="str">
        <f>INDEX('Draft Board'!$A$2:$AB$622,MATCH('Post-Mortem'!F3,'Draft Board'!$F$2:$F$622,0),21)</f>
        <v>S+</v>
      </c>
      <c r="AA3" s="12" t="str">
        <f>INDEX('Draft Board'!$A$2:$AB$622,MATCH('Post-Mortem'!G3,'Draft Board'!$F$2:$F$622,0),21)</f>
        <v>S+</v>
      </c>
      <c r="AB3" s="12" t="str">
        <f>INDEX('Draft Board'!$A$2:$AB$622,MATCH('Post-Mortem'!H3,'Draft Board'!$F$2:$F$622,0),21)</f>
        <v>S+</v>
      </c>
      <c r="AC3" s="12" t="str">
        <f>INDEX('Draft Board'!$A$2:$AB$622,MATCH('Post-Mortem'!I3,'Draft Board'!$F$2:$F$622,0),21)</f>
        <v>S-</v>
      </c>
      <c r="AD3" s="12" t="str">
        <f>INDEX('Draft Board'!$A$2:$AB$622,MATCH('Post-Mortem'!J3,'Draft Board'!$F$2:$F$622,0),21)</f>
        <v>A+</v>
      </c>
      <c r="AE3" s="22" t="str">
        <f>INDEX('Draft Board'!$A$2:$AB$622,MATCH('Post-Mortem'!K3,'Draft Board'!$F$2:$F$622,0),21)</f>
        <v>A+</v>
      </c>
      <c r="AF3" s="12">
        <f>INDEX('Draft Board'!$A$2:$AB$622,MATCH('Post-Mortem'!B3,'Draft Board'!$F$2:$F$622,0),22)</f>
        <v>1</v>
      </c>
      <c r="AG3" s="2">
        <f>INDEX('Draft Board'!$A$2:$AB$622,MATCH('Post-Mortem'!C3,'Draft Board'!$F$2:$F$622,0),22)</f>
        <v>3</v>
      </c>
      <c r="AH3" s="2">
        <f>INDEX('Draft Board'!$A$2:$AB$622,MATCH('Post-Mortem'!D3,'Draft Board'!$F$2:$F$622,0),22)</f>
        <v>2</v>
      </c>
      <c r="AI3" s="2">
        <f>INDEX('Draft Board'!$A$2:$AB$622,MATCH('Post-Mortem'!E3,'Draft Board'!$F$2:$F$622,0),22)</f>
        <v>8</v>
      </c>
      <c r="AJ3" s="2">
        <f>INDEX('Draft Board'!$A$2:$AB$622,MATCH('Post-Mortem'!F3,'Draft Board'!$F$2:$F$622,0),22)</f>
        <v>4</v>
      </c>
      <c r="AK3" s="2">
        <f>INDEX('Draft Board'!$A$2:$AB$622,MATCH('Post-Mortem'!G3,'Draft Board'!$F$2:$F$622,0),22)</f>
        <v>6</v>
      </c>
      <c r="AL3" s="2">
        <f>INDEX('Draft Board'!$A$2:$AB$622,MATCH('Post-Mortem'!H3,'Draft Board'!$F$2:$F$622,0),22)</f>
        <v>5</v>
      </c>
      <c r="AM3" s="2">
        <f>INDEX('Draft Board'!$A$2:$AB$622,MATCH('Post-Mortem'!I3,'Draft Board'!$F$2:$F$622,0),22)</f>
        <v>14</v>
      </c>
      <c r="AN3" s="2">
        <f>INDEX('Draft Board'!$A$2:$AB$622,MATCH('Post-Mortem'!J3,'Draft Board'!$F$2:$F$622,0),22)</f>
        <v>63</v>
      </c>
      <c r="AO3" s="13">
        <f>INDEX('Draft Board'!$A$2:$AB$622,MATCH('Post-Mortem'!K3,'Draft Board'!$F$2:$F$622,0),22)</f>
        <v>23</v>
      </c>
      <c r="AP3" s="12">
        <f>B3-AF3</f>
        <v>0</v>
      </c>
      <c r="AQ3" s="2">
        <f t="shared" ref="AQ3:AQ25" si="0">C3-AG3</f>
        <v>-1</v>
      </c>
      <c r="AR3" s="2">
        <f t="shared" ref="AR3:AR25" si="1">D3-AH3</f>
        <v>1</v>
      </c>
      <c r="AS3" s="2">
        <f t="shared" ref="AS3:AS25" si="2">E3-AI3</f>
        <v>-4</v>
      </c>
      <c r="AT3" s="2">
        <f t="shared" ref="AT3:AT25" si="3">F3-AJ3</f>
        <v>1</v>
      </c>
      <c r="AU3" s="2">
        <f t="shared" ref="AU3:AU25" si="4">G3-AK3</f>
        <v>0</v>
      </c>
      <c r="AV3" s="2">
        <f t="shared" ref="AV3:AV25" si="5">H3-AL3</f>
        <v>2</v>
      </c>
      <c r="AW3" s="2">
        <f t="shared" ref="AW3:AW25" si="6">I3-AM3</f>
        <v>-6</v>
      </c>
      <c r="AX3" s="2">
        <f t="shared" ref="AX3:AX25" si="7">J3-AN3</f>
        <v>-54</v>
      </c>
      <c r="AY3" s="13">
        <f t="shared" ref="AY3:AY25" si="8">K3-AO3</f>
        <v>-13</v>
      </c>
    </row>
    <row r="4" spans="1:51" x14ac:dyDescent="0.2">
      <c r="A4" s="2">
        <f>A3+1</f>
        <v>2</v>
      </c>
      <c r="B4" s="12">
        <f>B3+20-B3</f>
        <v>20</v>
      </c>
      <c r="C4" s="2">
        <v>19</v>
      </c>
      <c r="D4" s="2">
        <v>18</v>
      </c>
      <c r="E4" s="2">
        <v>17</v>
      </c>
      <c r="F4" s="2">
        <v>16</v>
      </c>
      <c r="G4" s="2">
        <v>15</v>
      </c>
      <c r="H4" s="2">
        <v>14</v>
      </c>
      <c r="I4" s="2">
        <v>13</v>
      </c>
      <c r="J4" s="2">
        <v>12</v>
      </c>
      <c r="K4" s="13">
        <v>11</v>
      </c>
      <c r="L4" s="12" t="str">
        <f>INDEX('Draft Board'!$A$2:$AB$622,MATCH('Post-Mortem'!B4,'Draft Board'!$F$2:$F$622,0),3)</f>
        <v>Samuel Lino</v>
      </c>
      <c r="M4" s="12" t="str">
        <f>INDEX('Draft Board'!$A$2:$AB$622,MATCH('Post-Mortem'!C4,'Draft Board'!$F$2:$F$622,0),3)</f>
        <v>Barreal</v>
      </c>
      <c r="N4" s="12" t="str">
        <f>INDEX('Draft Board'!$A$2:$AB$622,MATCH('Post-Mortem'!D4,'Draft Board'!$F$2:$F$622,0),3)</f>
        <v>Danilo</v>
      </c>
      <c r="O4" s="12" t="str">
        <f>INDEX('Draft Board'!$A$2:$AB$622,MATCH('Post-Mortem'!E4,'Draft Board'!$F$2:$F$622,0),3)</f>
        <v>Luciano</v>
      </c>
      <c r="P4" s="12" t="str">
        <f>INDEX('Draft Board'!$A$2:$AB$622,MATCH('Post-Mortem'!F4,'Draft Board'!$F$2:$F$622,0),3)</f>
        <v>Willian José</v>
      </c>
      <c r="Q4" s="12" t="str">
        <f>INDEX('Draft Board'!$A$2:$AB$622,MATCH('Post-Mortem'!G4,'Draft Board'!$F$2:$F$622,0),3)</f>
        <v>Alan Patrick</v>
      </c>
      <c r="R4" s="12" t="str">
        <f>INDEX('Draft Board'!$A$2:$AB$622,MATCH('Post-Mortem'!H4,'Draft Board'!$F$2:$F$622,0),3)</f>
        <v>Reinaldo</v>
      </c>
      <c r="S4" s="12" t="str">
        <f>INDEX('Draft Board'!$A$2:$AB$622,MATCH('Post-Mortem'!I4,'Draft Board'!$F$2:$F$622,0),3)</f>
        <v>Neymar</v>
      </c>
      <c r="T4" s="12" t="str">
        <f>INDEX('Draft Board'!$A$2:$AB$622,MATCH('Post-Mortem'!J4,'Draft Board'!$F$2:$F$622,0),3)</f>
        <v>Jorginho</v>
      </c>
      <c r="U4" s="22" t="str">
        <f>INDEX('Draft Board'!$A$2:$AB$622,MATCH('Post-Mortem'!K4,'Draft Board'!$F$2:$F$622,0),3)</f>
        <v>Memphis Depay</v>
      </c>
      <c r="V4" s="12" t="str">
        <f>INDEX('Draft Board'!$A$2:$AB$622,MATCH('Post-Mortem'!B4,'Draft Board'!$F$2:$F$622,0),21)</f>
        <v>S</v>
      </c>
      <c r="W4" s="12" t="str">
        <f>INDEX('Draft Board'!$A$2:$AB$622,MATCH('Post-Mortem'!C4,'Draft Board'!$F$2:$F$622,0),21)</f>
        <v>A</v>
      </c>
      <c r="X4" s="12" t="str">
        <f>INDEX('Draft Board'!$A$2:$AB$622,MATCH('Post-Mortem'!D4,'Draft Board'!$F$2:$F$622,0),21)</f>
        <v>C</v>
      </c>
      <c r="Y4" s="12" t="str">
        <f>INDEX('Draft Board'!$A$2:$AB$622,MATCH('Post-Mortem'!E4,'Draft Board'!$F$2:$F$622,0),21)</f>
        <v>A+</v>
      </c>
      <c r="Z4" s="12" t="str">
        <f>INDEX('Draft Board'!$A$2:$AB$622,MATCH('Post-Mortem'!F4,'Draft Board'!$F$2:$F$622,0),21)</f>
        <v>A</v>
      </c>
      <c r="AA4" s="12" t="str">
        <f>INDEX('Draft Board'!$A$2:$AB$622,MATCH('Post-Mortem'!G4,'Draft Board'!$F$2:$F$622,0),21)</f>
        <v>S</v>
      </c>
      <c r="AB4" s="12" t="str">
        <f>INDEX('Draft Board'!$A$2:$AB$622,MATCH('Post-Mortem'!H4,'Draft Board'!$F$2:$F$622,0),21)</f>
        <v>S+</v>
      </c>
      <c r="AC4" s="12" t="str">
        <f>INDEX('Draft Board'!$A$2:$AB$622,MATCH('Post-Mortem'!I4,'Draft Board'!$F$2:$F$622,0),21)</f>
        <v>S</v>
      </c>
      <c r="AD4" s="12" t="str">
        <f>INDEX('Draft Board'!$A$2:$AB$622,MATCH('Post-Mortem'!J4,'Draft Board'!$F$2:$F$622,0),21)</f>
        <v>C+</v>
      </c>
      <c r="AE4" s="22" t="str">
        <f>INDEX('Draft Board'!$A$2:$AB$622,MATCH('Post-Mortem'!K4,'Draft Board'!$F$2:$F$622,0),21)</f>
        <v>B+</v>
      </c>
      <c r="AF4" s="12">
        <f>INDEX('Draft Board'!$A$2:$AB$622,MATCH('Post-Mortem'!B4,'Draft Board'!$F$2:$F$622,0),22)</f>
        <v>11</v>
      </c>
      <c r="AG4" s="2">
        <f>INDEX('Draft Board'!$A$2:$AB$622,MATCH('Post-Mortem'!C4,'Draft Board'!$F$2:$F$622,0),22)</f>
        <v>33</v>
      </c>
      <c r="AH4" s="2">
        <f>INDEX('Draft Board'!$A$2:$AB$622,MATCH('Post-Mortem'!D4,'Draft Board'!$F$2:$F$622,0),22)</f>
        <v>182</v>
      </c>
      <c r="AI4" s="2">
        <f>INDEX('Draft Board'!$A$2:$AB$622,MATCH('Post-Mortem'!E4,'Draft Board'!$F$2:$F$622,0),22)</f>
        <v>22</v>
      </c>
      <c r="AJ4" s="2">
        <f>INDEX('Draft Board'!$A$2:$AB$622,MATCH('Post-Mortem'!F4,'Draft Board'!$F$2:$F$622,0),22)</f>
        <v>43</v>
      </c>
      <c r="AK4" s="2">
        <f>INDEX('Draft Board'!$A$2:$AB$622,MATCH('Post-Mortem'!G4,'Draft Board'!$F$2:$F$622,0),22)</f>
        <v>10</v>
      </c>
      <c r="AL4" s="2">
        <f>INDEX('Draft Board'!$A$2:$AB$622,MATCH('Post-Mortem'!H4,'Draft Board'!$F$2:$F$622,0),22)</f>
        <v>7</v>
      </c>
      <c r="AM4" s="2">
        <f>INDEX('Draft Board'!$A$2:$AB$622,MATCH('Post-Mortem'!I4,'Draft Board'!$F$2:$F$622,0),22)</f>
        <v>9</v>
      </c>
      <c r="AN4" s="2">
        <f>INDEX('Draft Board'!$A$2:$AB$622,MATCH('Post-Mortem'!J4,'Draft Board'!$F$2:$F$622,0),22)</f>
        <v>136</v>
      </c>
      <c r="AO4" s="13">
        <f>INDEX('Draft Board'!$A$2:$AB$622,MATCH('Post-Mortem'!K4,'Draft Board'!$F$2:$F$622,0),22)</f>
        <v>62</v>
      </c>
      <c r="AP4" s="12">
        <f t="shared" ref="AP4:AP25" si="9">B4-AF4</f>
        <v>9</v>
      </c>
      <c r="AQ4" s="2">
        <f t="shared" si="0"/>
        <v>-14</v>
      </c>
      <c r="AR4" s="2">
        <f t="shared" si="1"/>
        <v>-164</v>
      </c>
      <c r="AS4" s="2">
        <f t="shared" si="2"/>
        <v>-5</v>
      </c>
      <c r="AT4" s="2">
        <f t="shared" si="3"/>
        <v>-27</v>
      </c>
      <c r="AU4" s="2">
        <f t="shared" si="4"/>
        <v>5</v>
      </c>
      <c r="AV4" s="2">
        <f t="shared" si="5"/>
        <v>7</v>
      </c>
      <c r="AW4" s="2">
        <f t="shared" si="6"/>
        <v>4</v>
      </c>
      <c r="AX4" s="2">
        <f t="shared" si="7"/>
        <v>-124</v>
      </c>
      <c r="AY4" s="13">
        <f t="shared" si="8"/>
        <v>-51</v>
      </c>
    </row>
    <row r="5" spans="1:51" x14ac:dyDescent="0.2">
      <c r="A5" s="2">
        <f t="shared" ref="A5:A25" si="10">A4+1</f>
        <v>3</v>
      </c>
      <c r="B5" s="12">
        <f>B3+20</f>
        <v>21</v>
      </c>
      <c r="C5" s="2">
        <f t="shared" ref="C5:K5" si="11">C3+20</f>
        <v>22</v>
      </c>
      <c r="D5" s="2">
        <f t="shared" si="11"/>
        <v>23</v>
      </c>
      <c r="E5" s="2">
        <f t="shared" si="11"/>
        <v>24</v>
      </c>
      <c r="F5" s="2">
        <f t="shared" si="11"/>
        <v>25</v>
      </c>
      <c r="G5" s="2">
        <f t="shared" si="11"/>
        <v>26</v>
      </c>
      <c r="H5" s="2">
        <f t="shared" si="11"/>
        <v>27</v>
      </c>
      <c r="I5" s="2">
        <f t="shared" si="11"/>
        <v>28</v>
      </c>
      <c r="J5" s="2">
        <f t="shared" si="11"/>
        <v>29</v>
      </c>
      <c r="K5" s="13">
        <f t="shared" si="11"/>
        <v>30</v>
      </c>
      <c r="L5" s="12" t="str">
        <f>INDEX('Draft Board'!$A$2:$AB$622,MATCH('Post-Mortem'!B5,'Draft Board'!$F$2:$F$622,0),3)</f>
        <v>Paulo Henrique</v>
      </c>
      <c r="M5" s="12" t="str">
        <f>INDEX('Draft Board'!$A$2:$AB$622,MATCH('Post-Mortem'!C5,'Draft Board'!$F$2:$F$622,0),3)</f>
        <v>Lucho Acosta</v>
      </c>
      <c r="N5" s="12" t="str">
        <f>INDEX('Draft Board'!$A$2:$AB$622,MATCH('Post-Mortem'!D5,'Draft Board'!$F$2:$F$622,0),3)</f>
        <v>Montoro</v>
      </c>
      <c r="O5" s="12" t="str">
        <f>INDEX('Draft Board'!$A$2:$AB$622,MATCH('Post-Mortem'!E5,'Draft Board'!$F$2:$F$622,0),3)</f>
        <v>Kaiki Bruno</v>
      </c>
      <c r="P5" s="12" t="str">
        <f>INDEX('Draft Board'!$A$2:$AB$622,MATCH('Post-Mortem'!F5,'Draft Board'!$F$2:$F$622,0),3)</f>
        <v>William</v>
      </c>
      <c r="Q5" s="12" t="str">
        <f>INDEX('Draft Board'!$A$2:$AB$622,MATCH('Post-Mortem'!G5,'Draft Board'!$F$2:$F$622,0),3)</f>
        <v>Alex Telles</v>
      </c>
      <c r="R5" s="12" t="str">
        <f>INDEX('Draft Board'!$A$2:$AB$622,MATCH('Post-Mortem'!H5,'Draft Board'!$F$2:$F$622,0),3)</f>
        <v>Gerson</v>
      </c>
      <c r="S5" s="12" t="str">
        <f>INDEX('Draft Board'!$A$2:$AB$622,MATCH('Post-Mortem'!I5,'Draft Board'!$F$2:$F$622,0),3)</f>
        <v>Carrascal</v>
      </c>
      <c r="T5" s="12" t="str">
        <f>INDEX('Draft Board'!$A$2:$AB$622,MATCH('Post-Mortem'!J5,'Draft Board'!$F$2:$F$622,0),3)</f>
        <v>Everton</v>
      </c>
      <c r="U5" s="22" t="str">
        <f>INDEX('Draft Board'!$A$2:$AB$622,MATCH('Post-Mortem'!K5,'Draft Board'!$F$2:$F$622,0),3)</f>
        <v>Léo Pereira</v>
      </c>
      <c r="V5" s="12" t="str">
        <f>INDEX('Draft Board'!$A$2:$AB$622,MATCH('Post-Mortem'!B5,'Draft Board'!$F$2:$F$622,0),21)</f>
        <v>S</v>
      </c>
      <c r="W5" s="12" t="str">
        <f>INDEX('Draft Board'!$A$2:$AB$622,MATCH('Post-Mortem'!C5,'Draft Board'!$F$2:$F$622,0),21)</f>
        <v>A</v>
      </c>
      <c r="X5" s="12" t="str">
        <f>INDEX('Draft Board'!$A$2:$AB$622,MATCH('Post-Mortem'!D5,'Draft Board'!$F$2:$F$622,0),21)</f>
        <v>B+</v>
      </c>
      <c r="Y5" s="12">
        <f>INDEX('Draft Board'!$A$2:$AB$622,MATCH('Post-Mortem'!E5,'Draft Board'!$F$2:$F$622,0),21)</f>
        <v>0</v>
      </c>
      <c r="Z5" s="12" t="str">
        <f>INDEX('Draft Board'!$A$2:$AB$622,MATCH('Post-Mortem'!F5,'Draft Board'!$F$2:$F$622,0),21)</f>
        <v>S</v>
      </c>
      <c r="AA5" s="12" t="str">
        <f>INDEX('Draft Board'!$A$2:$AB$622,MATCH('Post-Mortem'!G5,'Draft Board'!$F$2:$F$622,0),21)</f>
        <v>A</v>
      </c>
      <c r="AB5" s="12" t="str">
        <f>INDEX('Draft Board'!$A$2:$AB$622,MATCH('Post-Mortem'!H5,'Draft Board'!$F$2:$F$622,0),21)</f>
        <v>B-</v>
      </c>
      <c r="AC5" s="12" t="str">
        <f>INDEX('Draft Board'!$A$2:$AB$622,MATCH('Post-Mortem'!I5,'Draft Board'!$F$2:$F$622,0),21)</f>
        <v>A</v>
      </c>
      <c r="AD5" s="12" t="str">
        <f>INDEX('Draft Board'!$A$2:$AB$622,MATCH('Post-Mortem'!J5,'Draft Board'!$F$2:$F$622,0),21)</f>
        <v>D+</v>
      </c>
      <c r="AE5" s="22" t="str">
        <f>INDEX('Draft Board'!$A$2:$AB$622,MATCH('Post-Mortem'!K5,'Draft Board'!$F$2:$F$622,0),21)</f>
        <v>A</v>
      </c>
      <c r="AF5" s="12">
        <f>INDEX('Draft Board'!$A$2:$AB$622,MATCH('Post-Mortem'!B5,'Draft Board'!$F$2:$F$622,0),22)</f>
        <v>12</v>
      </c>
      <c r="AG5" s="2">
        <f>INDEX('Draft Board'!$A$2:$AB$622,MATCH('Post-Mortem'!C5,'Draft Board'!$F$2:$F$622,0),22)</f>
        <v>34</v>
      </c>
      <c r="AH5" s="2">
        <f>INDEX('Draft Board'!$A$2:$AB$622,MATCH('Post-Mortem'!D5,'Draft Board'!$F$2:$F$622,0),22)</f>
        <v>64</v>
      </c>
      <c r="AI5" s="2">
        <f>INDEX('Draft Board'!$A$2:$AB$622,MATCH('Post-Mortem'!E5,'Draft Board'!$F$2:$F$622,0),22)</f>
        <v>0</v>
      </c>
      <c r="AJ5" s="2">
        <f>INDEX('Draft Board'!$A$2:$AB$622,MATCH('Post-Mortem'!F5,'Draft Board'!$F$2:$F$622,0),22)</f>
        <v>13</v>
      </c>
      <c r="AK5" s="2">
        <f>INDEX('Draft Board'!$A$2:$AB$622,MATCH('Post-Mortem'!G5,'Draft Board'!$F$2:$F$622,0),22)</f>
        <v>36</v>
      </c>
      <c r="AL5" s="2">
        <f>INDEX('Draft Board'!$A$2:$AB$622,MATCH('Post-Mortem'!H5,'Draft Board'!$F$2:$F$622,0),22)</f>
        <v>105</v>
      </c>
      <c r="AM5" s="2">
        <f>INDEX('Draft Board'!$A$2:$AB$622,MATCH('Post-Mortem'!I5,'Draft Board'!$F$2:$F$622,0),22)</f>
        <v>35</v>
      </c>
      <c r="AN5" s="2">
        <f>INDEX('Draft Board'!$A$2:$AB$622,MATCH('Post-Mortem'!J5,'Draft Board'!$F$2:$F$622,0),22)</f>
        <v>242</v>
      </c>
      <c r="AO5" s="13">
        <f>INDEX('Draft Board'!$A$2:$AB$622,MATCH('Post-Mortem'!K5,'Draft Board'!$F$2:$F$622,0),22)</f>
        <v>38</v>
      </c>
      <c r="AP5" s="12">
        <f t="shared" si="9"/>
        <v>9</v>
      </c>
      <c r="AQ5" s="2">
        <f t="shared" si="0"/>
        <v>-12</v>
      </c>
      <c r="AR5" s="2">
        <f t="shared" si="1"/>
        <v>-41</v>
      </c>
      <c r="AS5" s="2">
        <f t="shared" si="2"/>
        <v>24</v>
      </c>
      <c r="AT5" s="2">
        <f t="shared" si="3"/>
        <v>12</v>
      </c>
      <c r="AU5" s="2">
        <f t="shared" si="4"/>
        <v>-10</v>
      </c>
      <c r="AV5" s="2">
        <f t="shared" si="5"/>
        <v>-78</v>
      </c>
      <c r="AW5" s="2">
        <f t="shared" si="6"/>
        <v>-7</v>
      </c>
      <c r="AX5" s="2">
        <f t="shared" si="7"/>
        <v>-213</v>
      </c>
      <c r="AY5" s="13">
        <f t="shared" si="8"/>
        <v>-8</v>
      </c>
    </row>
    <row r="6" spans="1:51" x14ac:dyDescent="0.2">
      <c r="A6" s="2">
        <f t="shared" si="10"/>
        <v>4</v>
      </c>
      <c r="B6" s="12">
        <f t="shared" ref="B6:K6" si="12">B4+20</f>
        <v>40</v>
      </c>
      <c r="C6" s="2">
        <f t="shared" si="12"/>
        <v>39</v>
      </c>
      <c r="D6" s="2">
        <f t="shared" si="12"/>
        <v>38</v>
      </c>
      <c r="E6" s="2">
        <f t="shared" si="12"/>
        <v>37</v>
      </c>
      <c r="F6" s="2">
        <f t="shared" si="12"/>
        <v>36</v>
      </c>
      <c r="G6" s="2">
        <f t="shared" si="12"/>
        <v>35</v>
      </c>
      <c r="H6" s="2">
        <f t="shared" si="12"/>
        <v>34</v>
      </c>
      <c r="I6" s="2">
        <f t="shared" si="12"/>
        <v>33</v>
      </c>
      <c r="J6" s="2">
        <f t="shared" si="12"/>
        <v>32</v>
      </c>
      <c r="K6" s="13">
        <f t="shared" si="12"/>
        <v>31</v>
      </c>
      <c r="L6" s="12" t="str">
        <f>INDEX('Draft Board'!$A$2:$AB$622,MATCH('Post-Mortem'!B6,'Draft Board'!$F$2:$F$622,0),3)</f>
        <v>Luciano Juba</v>
      </c>
      <c r="M6" s="12" t="str">
        <f>INDEX('Draft Board'!$A$2:$AB$622,MATCH('Post-Mortem'!C6,'Draft Board'!$F$2:$F$622,0),3)</f>
        <v>Viveros</v>
      </c>
      <c r="N6" s="12" t="str">
        <f>INDEX('Draft Board'!$A$2:$AB$622,MATCH('Post-Mortem'!D6,'Draft Board'!$F$2:$F$622,0),3)</f>
        <v>Plata</v>
      </c>
      <c r="O6" s="12" t="str">
        <f>INDEX('Draft Board'!$A$2:$AB$622,MATCH('Post-Mortem'!E6,'Draft Board'!$F$2:$F$622,0),3)</f>
        <v>Rossi</v>
      </c>
      <c r="P6" s="12" t="str">
        <f>INDEX('Draft Board'!$A$2:$AB$622,MATCH('Post-Mortem'!F6,'Draft Board'!$F$2:$F$622,0),3)</f>
        <v>Jemmes</v>
      </c>
      <c r="Q6" s="12" t="str">
        <f>INDEX('Draft Board'!$A$2:$AB$622,MATCH('Post-Mortem'!G6,'Draft Board'!$F$2:$F$622,0),3)</f>
        <v>Erick Pulga</v>
      </c>
      <c r="R6" s="12" t="str">
        <f>INDEX('Draft Board'!$A$2:$AB$622,MATCH('Post-Mortem'!H6,'Draft Board'!$F$2:$F$622,0),3)</f>
        <v>Martinelli</v>
      </c>
      <c r="S6" s="12" t="str">
        <f>INDEX('Draft Board'!$A$2:$AB$622,MATCH('Post-Mortem'!I6,'Draft Board'!$F$2:$F$622,0),3)</f>
        <v>Borré</v>
      </c>
      <c r="T6" s="12" t="str">
        <f>INDEX('Draft Board'!$A$2:$AB$622,MATCH('Post-Mortem'!J6,'Draft Board'!$F$2:$F$622,0),3)</f>
        <v>Léo Ortiz</v>
      </c>
      <c r="U6" s="22" t="str">
        <f>INDEX('Draft Board'!$A$2:$AB$622,MATCH('Post-Mortem'!K6,'Draft Board'!$F$2:$F$622,0),3)</f>
        <v>Alex Sandro</v>
      </c>
      <c r="V6" s="12" t="str">
        <f>INDEX('Draft Board'!$A$2:$AB$622,MATCH('Post-Mortem'!B6,'Draft Board'!$F$2:$F$622,0),21)</f>
        <v>S-</v>
      </c>
      <c r="W6" s="12" t="str">
        <f>INDEX('Draft Board'!$A$2:$AB$622,MATCH('Post-Mortem'!C6,'Draft Board'!$F$2:$F$622,0),21)</f>
        <v>A-</v>
      </c>
      <c r="X6" s="12" t="str">
        <f>INDEX('Draft Board'!$A$2:$AB$622,MATCH('Post-Mortem'!D6,'Draft Board'!$F$2:$F$622,0),21)</f>
        <v>D+</v>
      </c>
      <c r="Y6" s="12" t="str">
        <f>INDEX('Draft Board'!$A$2:$AB$622,MATCH('Post-Mortem'!E6,'Draft Board'!$F$2:$F$622,0),21)</f>
        <v>S-</v>
      </c>
      <c r="Z6" s="12" t="str">
        <f>INDEX('Draft Board'!$A$2:$AB$622,MATCH('Post-Mortem'!F6,'Draft Board'!$F$2:$F$622,0),21)</f>
        <v>A-</v>
      </c>
      <c r="AA6" s="12" t="str">
        <f>INDEX('Draft Board'!$A$2:$AB$622,MATCH('Post-Mortem'!G6,'Draft Board'!$F$2:$F$622,0),21)</f>
        <v>A+</v>
      </c>
      <c r="AB6" s="12" t="str">
        <f>INDEX('Draft Board'!$A$2:$AB$622,MATCH('Post-Mortem'!H6,'Draft Board'!$F$2:$F$622,0),21)</f>
        <v>C-</v>
      </c>
      <c r="AC6" s="12" t="str">
        <f>INDEX('Draft Board'!$A$2:$AB$622,MATCH('Post-Mortem'!I6,'Draft Board'!$F$2:$F$622,0),21)</f>
        <v>C+</v>
      </c>
      <c r="AD6" s="12" t="str">
        <f>INDEX('Draft Board'!$A$2:$AB$622,MATCH('Post-Mortem'!J6,'Draft Board'!$F$2:$F$622,0),21)</f>
        <v>B-</v>
      </c>
      <c r="AE6" s="22" t="str">
        <f>INDEX('Draft Board'!$A$2:$AB$622,MATCH('Post-Mortem'!K6,'Draft Board'!$F$2:$F$622,0),21)</f>
        <v>C</v>
      </c>
      <c r="AF6" s="12">
        <f>INDEX('Draft Board'!$A$2:$AB$622,MATCH('Post-Mortem'!B6,'Draft Board'!$F$2:$F$622,0),22)</f>
        <v>17</v>
      </c>
      <c r="AG6" s="2">
        <f>INDEX('Draft Board'!$A$2:$AB$622,MATCH('Post-Mortem'!C6,'Draft Board'!$F$2:$F$622,0),22)</f>
        <v>57</v>
      </c>
      <c r="AH6" s="2">
        <f>INDEX('Draft Board'!$A$2:$AB$622,MATCH('Post-Mortem'!D6,'Draft Board'!$F$2:$F$622,0),22)</f>
        <v>231</v>
      </c>
      <c r="AI6" s="2">
        <f>INDEX('Draft Board'!$A$2:$AB$622,MATCH('Post-Mortem'!E6,'Draft Board'!$F$2:$F$622,0),22)</f>
        <v>15</v>
      </c>
      <c r="AJ6" s="2">
        <f>INDEX('Draft Board'!$A$2:$AB$622,MATCH('Post-Mortem'!F6,'Draft Board'!$F$2:$F$622,0),22)</f>
        <v>58</v>
      </c>
      <c r="AK6" s="2">
        <f>INDEX('Draft Board'!$A$2:$AB$622,MATCH('Post-Mortem'!G6,'Draft Board'!$F$2:$F$622,0),22)</f>
        <v>24</v>
      </c>
      <c r="AL6" s="2">
        <f>INDEX('Draft Board'!$A$2:$AB$622,MATCH('Post-Mortem'!H6,'Draft Board'!$F$2:$F$622,0),22)</f>
        <v>212</v>
      </c>
      <c r="AM6" s="2">
        <f>INDEX('Draft Board'!$A$2:$AB$622,MATCH('Post-Mortem'!I6,'Draft Board'!$F$2:$F$622,0),22)</f>
        <v>126</v>
      </c>
      <c r="AN6" s="2">
        <f>INDEX('Draft Board'!$A$2:$AB$622,MATCH('Post-Mortem'!J6,'Draft Board'!$F$2:$F$622,0),22)</f>
        <v>112</v>
      </c>
      <c r="AO6" s="13">
        <f>INDEX('Draft Board'!$A$2:$AB$622,MATCH('Post-Mortem'!K6,'Draft Board'!$F$2:$F$622,0),22)</f>
        <v>160</v>
      </c>
      <c r="AP6" s="12">
        <f t="shared" si="9"/>
        <v>23</v>
      </c>
      <c r="AQ6" s="2">
        <f t="shared" si="0"/>
        <v>-18</v>
      </c>
      <c r="AR6" s="2">
        <f t="shared" si="1"/>
        <v>-193</v>
      </c>
      <c r="AS6" s="2">
        <f t="shared" si="2"/>
        <v>22</v>
      </c>
      <c r="AT6" s="2">
        <f t="shared" si="3"/>
        <v>-22</v>
      </c>
      <c r="AU6" s="2">
        <f t="shared" si="4"/>
        <v>11</v>
      </c>
      <c r="AV6" s="2">
        <f t="shared" si="5"/>
        <v>-178</v>
      </c>
      <c r="AW6" s="2">
        <f t="shared" si="6"/>
        <v>-93</v>
      </c>
      <c r="AX6" s="2">
        <f t="shared" si="7"/>
        <v>-80</v>
      </c>
      <c r="AY6" s="13">
        <f t="shared" si="8"/>
        <v>-129</v>
      </c>
    </row>
    <row r="7" spans="1:51" x14ac:dyDescent="0.2">
      <c r="A7" s="2">
        <f t="shared" si="10"/>
        <v>5</v>
      </c>
      <c r="B7" s="12">
        <f t="shared" ref="B7:K7" si="13">B5+20</f>
        <v>41</v>
      </c>
      <c r="C7" s="2">
        <f t="shared" si="13"/>
        <v>42</v>
      </c>
      <c r="D7" s="2">
        <f t="shared" si="13"/>
        <v>43</v>
      </c>
      <c r="E7" s="2">
        <f t="shared" si="13"/>
        <v>44</v>
      </c>
      <c r="F7" s="2">
        <f t="shared" si="13"/>
        <v>45</v>
      </c>
      <c r="G7" s="2">
        <f t="shared" si="13"/>
        <v>46</v>
      </c>
      <c r="H7" s="2">
        <f t="shared" si="13"/>
        <v>47</v>
      </c>
      <c r="I7" s="2">
        <f t="shared" si="13"/>
        <v>48</v>
      </c>
      <c r="J7" s="2">
        <f t="shared" si="13"/>
        <v>49</v>
      </c>
      <c r="K7" s="13">
        <f t="shared" si="13"/>
        <v>50</v>
      </c>
      <c r="L7" s="12" t="str">
        <f>INDEX('Draft Board'!$A$2:$AB$622,MATCH('Post-Mortem'!B7,'Draft Board'!$F$2:$F$622,0),3)</f>
        <v>Carlos Miguel</v>
      </c>
      <c r="M7" s="12" t="str">
        <f>INDEX('Draft Board'!$A$2:$AB$622,MATCH('Post-Mortem'!C7,'Draft Board'!$F$2:$F$622,0),3)</f>
        <v>Eduardo Sasha</v>
      </c>
      <c r="N7" s="12" t="str">
        <f>INDEX('Draft Board'!$A$2:$AB$622,MATCH('Post-Mortem'!D7,'Draft Board'!$F$2:$F$622,0),3)</f>
        <v>Serna</v>
      </c>
      <c r="O7" s="12" t="str">
        <f>INDEX('Draft Board'!$A$2:$AB$622,MATCH('Post-Mortem'!E7,'Draft Board'!$F$2:$F$622,0),3)</f>
        <v>Samuel Xavier</v>
      </c>
      <c r="P7" s="12" t="str">
        <f>INDEX('Draft Board'!$A$2:$AB$622,MATCH('Post-Mortem'!F7,'Draft Board'!$F$2:$F$622,0),3)</f>
        <v>Cássio</v>
      </c>
      <c r="Q7" s="12" t="str">
        <f>INDEX('Draft Board'!$A$2:$AB$622,MATCH('Post-Mortem'!G7,'Draft Board'!$F$2:$F$622,0),3)</f>
        <v>Canobbio</v>
      </c>
      <c r="R7" s="12" t="str">
        <f>INDEX('Draft Board'!$A$2:$AB$622,MATCH('Post-Mortem'!H7,'Draft Board'!$F$2:$F$622,0),3)</f>
        <v>Alexander Barboza</v>
      </c>
      <c r="S7" s="12" t="str">
        <f>INDEX('Draft Board'!$A$2:$AB$622,MATCH('Post-Mortem'!I7,'Draft Board'!$F$2:$F$622,0),3)</f>
        <v>Renan Lodi</v>
      </c>
      <c r="T7" s="12" t="str">
        <f>INDEX('Draft Board'!$A$2:$AB$622,MATCH('Post-Mortem'!J7,'Draft Board'!$F$2:$F$622,0),3)</f>
        <v>Ademir</v>
      </c>
      <c r="U7" s="22" t="str">
        <f>INDEX('Draft Board'!$A$2:$AB$622,MATCH('Post-Mortem'!K7,'Draft Board'!$F$2:$F$622,0),3)</f>
        <v>Fábio</v>
      </c>
      <c r="V7" s="12" t="str">
        <f>INDEX('Draft Board'!$A$2:$AB$622,MATCH('Post-Mortem'!B7,'Draft Board'!$F$2:$F$622,0),21)</f>
        <v>S-</v>
      </c>
      <c r="W7" s="12" t="str">
        <f>INDEX('Draft Board'!$A$2:$AB$622,MATCH('Post-Mortem'!C7,'Draft Board'!$F$2:$F$622,0),21)</f>
        <v>B</v>
      </c>
      <c r="X7" s="12" t="str">
        <f>INDEX('Draft Board'!$A$2:$AB$622,MATCH('Post-Mortem'!D7,'Draft Board'!$F$2:$F$622,0),21)</f>
        <v>A+</v>
      </c>
      <c r="Y7" s="12" t="str">
        <f>INDEX('Draft Board'!$A$2:$AB$622,MATCH('Post-Mortem'!E7,'Draft Board'!$F$2:$F$622,0),21)</f>
        <v>A</v>
      </c>
      <c r="Z7" s="12" t="str">
        <f>INDEX('Draft Board'!$A$2:$AB$622,MATCH('Post-Mortem'!F7,'Draft Board'!$F$2:$F$622,0),21)</f>
        <v>S-</v>
      </c>
      <c r="AA7" s="12" t="str">
        <f>INDEX('Draft Board'!$A$2:$AB$622,MATCH('Post-Mortem'!G7,'Draft Board'!$F$2:$F$622,0),21)</f>
        <v>A</v>
      </c>
      <c r="AB7" s="12" t="str">
        <f>INDEX('Draft Board'!$A$2:$AB$622,MATCH('Post-Mortem'!H7,'Draft Board'!$F$2:$F$622,0),21)</f>
        <v>B+</v>
      </c>
      <c r="AC7" s="12" t="str">
        <f>INDEX('Draft Board'!$A$2:$AB$622,MATCH('Post-Mortem'!I7,'Draft Board'!$F$2:$F$622,0),21)</f>
        <v>A+</v>
      </c>
      <c r="AD7" s="12" t="str">
        <f>INDEX('Draft Board'!$A$2:$AB$622,MATCH('Post-Mortem'!J7,'Draft Board'!$F$2:$F$622,0),21)</f>
        <v>A-</v>
      </c>
      <c r="AE7" s="22" t="str">
        <f>INDEX('Draft Board'!$A$2:$AB$622,MATCH('Post-Mortem'!K7,'Draft Board'!$F$2:$F$622,0),21)</f>
        <v>B-</v>
      </c>
      <c r="AF7" s="12">
        <f>INDEX('Draft Board'!$A$2:$AB$622,MATCH('Post-Mortem'!B7,'Draft Board'!$F$2:$F$622,0),22)</f>
        <v>19</v>
      </c>
      <c r="AG7" s="2">
        <f>INDEX('Draft Board'!$A$2:$AB$622,MATCH('Post-Mortem'!C7,'Draft Board'!$F$2:$F$622,0),22)</f>
        <v>93</v>
      </c>
      <c r="AH7" s="2">
        <f>INDEX('Draft Board'!$A$2:$AB$622,MATCH('Post-Mortem'!D7,'Draft Board'!$F$2:$F$622,0),22)</f>
        <v>28</v>
      </c>
      <c r="AI7" s="2">
        <f>INDEX('Draft Board'!$A$2:$AB$622,MATCH('Post-Mortem'!E7,'Draft Board'!$F$2:$F$622,0),22)</f>
        <v>41</v>
      </c>
      <c r="AJ7" s="2">
        <f>INDEX('Draft Board'!$A$2:$AB$622,MATCH('Post-Mortem'!F7,'Draft Board'!$F$2:$F$622,0),22)</f>
        <v>18</v>
      </c>
      <c r="AK7" s="2">
        <f>INDEX('Draft Board'!$A$2:$AB$622,MATCH('Post-Mortem'!G7,'Draft Board'!$F$2:$F$622,0),22)</f>
        <v>29</v>
      </c>
      <c r="AL7" s="2">
        <f>INDEX('Draft Board'!$A$2:$AB$622,MATCH('Post-Mortem'!H7,'Draft Board'!$F$2:$F$622,0),22)</f>
        <v>66</v>
      </c>
      <c r="AM7" s="2">
        <f>INDEX('Draft Board'!$A$2:$AB$622,MATCH('Post-Mortem'!I7,'Draft Board'!$F$2:$F$622,0),22)</f>
        <v>27</v>
      </c>
      <c r="AN7" s="2">
        <f>INDEX('Draft Board'!$A$2:$AB$622,MATCH('Post-Mortem'!J7,'Draft Board'!$F$2:$F$622,0),22)</f>
        <v>61</v>
      </c>
      <c r="AO7" s="13">
        <f>INDEX('Draft Board'!$A$2:$AB$622,MATCH('Post-Mortem'!K7,'Draft Board'!$F$2:$F$622,0),22)</f>
        <v>109</v>
      </c>
      <c r="AP7" s="12">
        <f t="shared" si="9"/>
        <v>22</v>
      </c>
      <c r="AQ7" s="2">
        <f t="shared" si="0"/>
        <v>-51</v>
      </c>
      <c r="AR7" s="2">
        <f t="shared" si="1"/>
        <v>15</v>
      </c>
      <c r="AS7" s="2">
        <f t="shared" si="2"/>
        <v>3</v>
      </c>
      <c r="AT7" s="2">
        <f t="shared" si="3"/>
        <v>27</v>
      </c>
      <c r="AU7" s="2">
        <f t="shared" si="4"/>
        <v>17</v>
      </c>
      <c r="AV7" s="2">
        <f t="shared" si="5"/>
        <v>-19</v>
      </c>
      <c r="AW7" s="2">
        <f t="shared" si="6"/>
        <v>21</v>
      </c>
      <c r="AX7" s="2">
        <f t="shared" si="7"/>
        <v>-12</v>
      </c>
      <c r="AY7" s="13">
        <f t="shared" si="8"/>
        <v>-59</v>
      </c>
    </row>
    <row r="8" spans="1:51" x14ac:dyDescent="0.2">
      <c r="A8" s="2">
        <f t="shared" si="10"/>
        <v>6</v>
      </c>
      <c r="B8" s="12">
        <f t="shared" ref="B8:K8" si="14">B6+20</f>
        <v>60</v>
      </c>
      <c r="C8" s="2">
        <f t="shared" si="14"/>
        <v>59</v>
      </c>
      <c r="D8" s="2">
        <f t="shared" si="14"/>
        <v>58</v>
      </c>
      <c r="E8" s="2">
        <f t="shared" si="14"/>
        <v>57</v>
      </c>
      <c r="F8" s="2">
        <f t="shared" si="14"/>
        <v>56</v>
      </c>
      <c r="G8" s="2">
        <f t="shared" si="14"/>
        <v>55</v>
      </c>
      <c r="H8" s="2">
        <f t="shared" si="14"/>
        <v>54</v>
      </c>
      <c r="I8" s="2">
        <f t="shared" si="14"/>
        <v>53</v>
      </c>
      <c r="J8" s="2">
        <f t="shared" si="14"/>
        <v>52</v>
      </c>
      <c r="K8" s="13">
        <f t="shared" si="14"/>
        <v>51</v>
      </c>
      <c r="L8" s="12" t="str">
        <f>INDEX('Draft Board'!$A$2:$AB$622,MATCH('Post-Mortem'!B8,'Draft Board'!$F$2:$F$622,0),3)</f>
        <v>Fabrício Bruno</v>
      </c>
      <c r="M8" s="12" t="str">
        <f>INDEX('Draft Board'!$A$2:$AB$622,MATCH('Post-Mortem'!C8,'Draft Board'!$F$2:$F$622,0),3)</f>
        <v>Walter</v>
      </c>
      <c r="N8" s="12" t="str">
        <f>INDEX('Draft Board'!$A$2:$AB$622,MATCH('Post-Mortem'!D8,'Draft Board'!$F$2:$F$622,0),3)</f>
        <v>Santiago Rodríguez</v>
      </c>
      <c r="O8" s="12" t="str">
        <f>INDEX('Draft Board'!$A$2:$AB$622,MATCH('Post-Mortem'!E8,'Draft Board'!$F$2:$F$622,0),3)</f>
        <v>Arboleda</v>
      </c>
      <c r="P8" s="12" t="str">
        <f>INDEX('Draft Board'!$A$2:$AB$622,MATCH('Post-Mortem'!F8,'Draft Board'!$F$2:$F$622,0),3)</f>
        <v>Arthur Cabral</v>
      </c>
      <c r="Q8" s="12" t="str">
        <f>INDEX('Draft Board'!$A$2:$AB$622,MATCH('Post-Mortem'!G8,'Draft Board'!$F$2:$F$622,0),3)</f>
        <v>Garro</v>
      </c>
      <c r="R8" s="12" t="str">
        <f>INDEX('Draft Board'!$A$2:$AB$622,MATCH('Post-Mortem'!H8,'Draft Board'!$F$2:$F$622,0),3)</f>
        <v>Tetê</v>
      </c>
      <c r="S8" s="12" t="str">
        <f>INDEX('Draft Board'!$A$2:$AB$622,MATCH('Post-Mortem'!I8,'Draft Board'!$F$2:$F$622,0),3)</f>
        <v>Juninho Capixaba</v>
      </c>
      <c r="T8" s="12" t="str">
        <f>INDEX('Draft Board'!$A$2:$AB$622,MATCH('Post-Mortem'!J8,'Draft Board'!$F$2:$F$622,0),3)</f>
        <v>Allan</v>
      </c>
      <c r="U8" s="22" t="str">
        <f>INDEX('Draft Board'!$A$2:$AB$622,MATCH('Post-Mortem'!K8,'Draft Board'!$F$2:$F$622,0),3)</f>
        <v>Piquerez</v>
      </c>
      <c r="V8" s="12" t="str">
        <f>INDEX('Draft Board'!$A$2:$AB$622,MATCH('Post-Mortem'!B8,'Draft Board'!$F$2:$F$622,0),21)</f>
        <v>A</v>
      </c>
      <c r="W8" s="12" t="str">
        <f>INDEX('Draft Board'!$A$2:$AB$622,MATCH('Post-Mortem'!C8,'Draft Board'!$F$2:$F$622,0),21)</f>
        <v>S-</v>
      </c>
      <c r="X8" s="12" t="str">
        <f>INDEX('Draft Board'!$A$2:$AB$622,MATCH('Post-Mortem'!D8,'Draft Board'!$F$2:$F$622,0),21)</f>
        <v>B</v>
      </c>
      <c r="Y8" s="12" t="str">
        <f>INDEX('Draft Board'!$A$2:$AB$622,MATCH('Post-Mortem'!E8,'Draft Board'!$F$2:$F$622,0),21)</f>
        <v>A</v>
      </c>
      <c r="Z8" s="12" t="str">
        <f>INDEX('Draft Board'!$A$2:$AB$622,MATCH('Post-Mortem'!F8,'Draft Board'!$F$2:$F$622,0),21)</f>
        <v>C+</v>
      </c>
      <c r="AA8" s="12" t="str">
        <f>INDEX('Draft Board'!$A$2:$AB$622,MATCH('Post-Mortem'!G8,'Draft Board'!$F$2:$F$622,0),21)</f>
        <v>C+</v>
      </c>
      <c r="AB8" s="12" t="str">
        <f>INDEX('Draft Board'!$A$2:$AB$622,MATCH('Post-Mortem'!H8,'Draft Board'!$F$2:$F$622,0),21)</f>
        <v>B+</v>
      </c>
      <c r="AC8" s="12" t="str">
        <f>INDEX('Draft Board'!$A$2:$AB$622,MATCH('Post-Mortem'!I8,'Draft Board'!$F$2:$F$622,0),21)</f>
        <v>A</v>
      </c>
      <c r="AD8" s="12" t="str">
        <f>INDEX('Draft Board'!$A$2:$AB$622,MATCH('Post-Mortem'!J8,'Draft Board'!$F$2:$F$622,0),21)</f>
        <v>C</v>
      </c>
      <c r="AE8" s="22" t="str">
        <f>INDEX('Draft Board'!$A$2:$AB$622,MATCH('Post-Mortem'!K8,'Draft Board'!$F$2:$F$622,0),21)</f>
        <v>A</v>
      </c>
      <c r="AF8" s="12">
        <f>INDEX('Draft Board'!$A$2:$AB$622,MATCH('Post-Mortem'!B8,'Draft Board'!$F$2:$F$622,0),22)</f>
        <v>39</v>
      </c>
      <c r="AG8" s="2">
        <f>INDEX('Draft Board'!$A$2:$AB$622,MATCH('Post-Mortem'!C8,'Draft Board'!$F$2:$F$622,0),22)</f>
        <v>20</v>
      </c>
      <c r="AH8" s="2">
        <f>INDEX('Draft Board'!$A$2:$AB$622,MATCH('Post-Mortem'!D8,'Draft Board'!$F$2:$F$622,0),22)</f>
        <v>99</v>
      </c>
      <c r="AI8" s="2">
        <f>INDEX('Draft Board'!$A$2:$AB$622,MATCH('Post-Mortem'!E8,'Draft Board'!$F$2:$F$622,0),22)</f>
        <v>46</v>
      </c>
      <c r="AJ8" s="2">
        <f>INDEX('Draft Board'!$A$2:$AB$622,MATCH('Post-Mortem'!F8,'Draft Board'!$F$2:$F$622,0),22)</f>
        <v>125</v>
      </c>
      <c r="AK8" s="2">
        <f>INDEX('Draft Board'!$A$2:$AB$622,MATCH('Post-Mortem'!G8,'Draft Board'!$F$2:$F$622,0),22)</f>
        <v>139</v>
      </c>
      <c r="AL8" s="2">
        <f>INDEX('Draft Board'!$A$2:$AB$622,MATCH('Post-Mortem'!H8,'Draft Board'!$F$2:$F$622,0),22)</f>
        <v>69</v>
      </c>
      <c r="AM8" s="2">
        <f>INDEX('Draft Board'!$A$2:$AB$622,MATCH('Post-Mortem'!I8,'Draft Board'!$F$2:$F$622,0),22)</f>
        <v>32</v>
      </c>
      <c r="AN8" s="2">
        <f>INDEX('Draft Board'!$A$2:$AB$622,MATCH('Post-Mortem'!J8,'Draft Board'!$F$2:$F$622,0),22)</f>
        <v>173</v>
      </c>
      <c r="AO8" s="13">
        <f>INDEX('Draft Board'!$A$2:$AB$622,MATCH('Post-Mortem'!K8,'Draft Board'!$F$2:$F$622,0),22)</f>
        <v>31</v>
      </c>
      <c r="AP8" s="12">
        <f t="shared" si="9"/>
        <v>21</v>
      </c>
      <c r="AQ8" s="2">
        <f t="shared" si="0"/>
        <v>39</v>
      </c>
      <c r="AR8" s="2">
        <f t="shared" si="1"/>
        <v>-41</v>
      </c>
      <c r="AS8" s="2">
        <f t="shared" si="2"/>
        <v>11</v>
      </c>
      <c r="AT8" s="2">
        <f t="shared" si="3"/>
        <v>-69</v>
      </c>
      <c r="AU8" s="2">
        <f t="shared" si="4"/>
        <v>-84</v>
      </c>
      <c r="AV8" s="2">
        <f t="shared" si="5"/>
        <v>-15</v>
      </c>
      <c r="AW8" s="2">
        <f t="shared" si="6"/>
        <v>21</v>
      </c>
      <c r="AX8" s="2">
        <f t="shared" si="7"/>
        <v>-121</v>
      </c>
      <c r="AY8" s="13">
        <f t="shared" si="8"/>
        <v>20</v>
      </c>
    </row>
    <row r="9" spans="1:51" x14ac:dyDescent="0.2">
      <c r="A9" s="2">
        <f t="shared" si="10"/>
        <v>7</v>
      </c>
      <c r="B9" s="12">
        <f t="shared" ref="B9:K9" si="15">B7+20</f>
        <v>61</v>
      </c>
      <c r="C9" s="2">
        <f t="shared" si="15"/>
        <v>62</v>
      </c>
      <c r="D9" s="2">
        <f t="shared" si="15"/>
        <v>63</v>
      </c>
      <c r="E9" s="2">
        <f t="shared" si="15"/>
        <v>64</v>
      </c>
      <c r="F9" s="2">
        <f t="shared" si="15"/>
        <v>65</v>
      </c>
      <c r="G9" s="2">
        <f t="shared" si="15"/>
        <v>66</v>
      </c>
      <c r="H9" s="2">
        <f t="shared" si="15"/>
        <v>67</v>
      </c>
      <c r="I9" s="2">
        <f t="shared" si="15"/>
        <v>68</v>
      </c>
      <c r="J9" s="2">
        <f t="shared" si="15"/>
        <v>69</v>
      </c>
      <c r="K9" s="13">
        <f t="shared" si="15"/>
        <v>70</v>
      </c>
      <c r="L9" s="12" t="str">
        <f>INDEX('Draft Board'!$A$2:$AB$622,MATCH('Post-Mortem'!B9,'Draft Board'!$F$2:$F$622,0),3)</f>
        <v>Erick</v>
      </c>
      <c r="M9" s="12" t="str">
        <f>INDEX('Draft Board'!$A$2:$AB$622,MATCH('Post-Mortem'!C9,'Draft Board'!$F$2:$F$622,0),3)</f>
        <v>Alesson</v>
      </c>
      <c r="N9" s="12" t="str">
        <f>INDEX('Draft Board'!$A$2:$AB$622,MATCH('Post-Mortem'!D9,'Draft Board'!$F$2:$F$622,0),3)</f>
        <v>Léo Jardim</v>
      </c>
      <c r="O9" s="12" t="str">
        <f>INDEX('Draft Board'!$A$2:$AB$622,MATCH('Post-Mortem'!E9,'Draft Board'!$F$2:$F$622,0),3)</f>
        <v>Philippe Coutinho</v>
      </c>
      <c r="P9" s="12" t="str">
        <f>INDEX('Draft Board'!$A$2:$AB$622,MATCH('Post-Mortem'!F9,'Draft Board'!$F$2:$F$622,0),3)</f>
        <v>Maurício</v>
      </c>
      <c r="Q9" s="12" t="str">
        <f>INDEX('Draft Board'!$A$2:$AB$622,MATCH('Post-Mortem'!G9,'Draft Board'!$F$2:$F$622,0),3)</f>
        <v>Gustavo Scarpa</v>
      </c>
      <c r="R9" s="12" t="str">
        <f>INDEX('Draft Board'!$A$2:$AB$622,MATCH('Post-Mortem'!H9,'Draft Board'!$F$2:$F$622,0),3)</f>
        <v>Everson</v>
      </c>
      <c r="S9" s="12" t="str">
        <f>INDEX('Draft Board'!$A$2:$AB$622,MATCH('Post-Mortem'!I9,'Draft Board'!$F$2:$F$622,0),3)</f>
        <v>Varela</v>
      </c>
      <c r="T9" s="12" t="str">
        <f>INDEX('Draft Board'!$A$2:$AB$622,MATCH('Post-Mortem'!J9,'Draft Board'!$F$2:$F$622,0),3)</f>
        <v>Bruno Fuchs</v>
      </c>
      <c r="U9" s="22" t="str">
        <f>INDEX('Draft Board'!$A$2:$AB$622,MATCH('Post-Mortem'!K9,'Draft Board'!$F$2:$F$622,0),3)</f>
        <v>Luiz Araújo</v>
      </c>
      <c r="V9" s="12" t="str">
        <f>INDEX('Draft Board'!$A$2:$AB$622,MATCH('Post-Mortem'!B9,'Draft Board'!$F$2:$F$622,0),21)</f>
        <v>A</v>
      </c>
      <c r="W9" s="12" t="str">
        <f>INDEX('Draft Board'!$A$2:$AB$622,MATCH('Post-Mortem'!C9,'Draft Board'!$F$2:$F$622,0),21)</f>
        <v>B+</v>
      </c>
      <c r="X9" s="12" t="str">
        <f>INDEX('Draft Board'!$A$2:$AB$622,MATCH('Post-Mortem'!D9,'Draft Board'!$F$2:$F$622,0),21)</f>
        <v>C-</v>
      </c>
      <c r="Y9" s="12" t="str">
        <f>INDEX('Draft Board'!$A$2:$AB$622,MATCH('Post-Mortem'!E9,'Draft Board'!$F$2:$F$622,0),21)</f>
        <v>B+</v>
      </c>
      <c r="Z9" s="12" t="str">
        <f>INDEX('Draft Board'!$A$2:$AB$622,MATCH('Post-Mortem'!F9,'Draft Board'!$F$2:$F$622,0),21)</f>
        <v>B-</v>
      </c>
      <c r="AA9" s="12" t="str">
        <f>INDEX('Draft Board'!$A$2:$AB$622,MATCH('Post-Mortem'!G9,'Draft Board'!$F$2:$F$622,0),21)</f>
        <v>C+</v>
      </c>
      <c r="AB9" s="12" t="str">
        <f>INDEX('Draft Board'!$A$2:$AB$622,MATCH('Post-Mortem'!H9,'Draft Board'!$F$2:$F$622,0),21)</f>
        <v>B</v>
      </c>
      <c r="AC9" s="12" t="str">
        <f>INDEX('Draft Board'!$A$2:$AB$622,MATCH('Post-Mortem'!I9,'Draft Board'!$F$2:$F$622,0),21)</f>
        <v>B-</v>
      </c>
      <c r="AD9" s="12" t="str">
        <f>INDEX('Draft Board'!$A$2:$AB$622,MATCH('Post-Mortem'!J9,'Draft Board'!$F$2:$F$622,0),21)</f>
        <v>A</v>
      </c>
      <c r="AE9" s="22" t="str">
        <f>INDEX('Draft Board'!$A$2:$AB$622,MATCH('Post-Mortem'!K9,'Draft Board'!$F$2:$F$622,0),21)</f>
        <v>B</v>
      </c>
      <c r="AF9" s="12">
        <f>INDEX('Draft Board'!$A$2:$AB$622,MATCH('Post-Mortem'!B9,'Draft Board'!$F$2:$F$622,0),22)</f>
        <v>44</v>
      </c>
      <c r="AG9" s="2">
        <f>INDEX('Draft Board'!$A$2:$AB$622,MATCH('Post-Mortem'!C9,'Draft Board'!$F$2:$F$622,0),22)</f>
        <v>76</v>
      </c>
      <c r="AH9" s="2">
        <f>INDEX('Draft Board'!$A$2:$AB$622,MATCH('Post-Mortem'!D9,'Draft Board'!$F$2:$F$622,0),22)</f>
        <v>192</v>
      </c>
      <c r="AI9" s="2">
        <f>INDEX('Draft Board'!$A$2:$AB$622,MATCH('Post-Mortem'!E9,'Draft Board'!$F$2:$F$622,0),22)</f>
        <v>84</v>
      </c>
      <c r="AJ9" s="2">
        <f>INDEX('Draft Board'!$A$2:$AB$622,MATCH('Post-Mortem'!F9,'Draft Board'!$F$2:$F$622,0),22)</f>
        <v>108</v>
      </c>
      <c r="AK9" s="2">
        <f>INDEX('Draft Board'!$A$2:$AB$622,MATCH('Post-Mortem'!G9,'Draft Board'!$F$2:$F$622,0),22)</f>
        <v>140</v>
      </c>
      <c r="AL9" s="2">
        <f>INDEX('Draft Board'!$A$2:$AB$622,MATCH('Post-Mortem'!H9,'Draft Board'!$F$2:$F$622,0),22)</f>
        <v>87</v>
      </c>
      <c r="AM9" s="2">
        <f>INDEX('Draft Board'!$A$2:$AB$622,MATCH('Post-Mortem'!I9,'Draft Board'!$F$2:$F$622,0),22)</f>
        <v>113</v>
      </c>
      <c r="AN9" s="2">
        <f>INDEX('Draft Board'!$A$2:$AB$622,MATCH('Post-Mortem'!J9,'Draft Board'!$F$2:$F$622,0),22)</f>
        <v>47</v>
      </c>
      <c r="AO9" s="13">
        <f>INDEX('Draft Board'!$A$2:$AB$622,MATCH('Post-Mortem'!K9,'Draft Board'!$F$2:$F$622,0),22)</f>
        <v>91</v>
      </c>
      <c r="AP9" s="12">
        <f t="shared" si="9"/>
        <v>17</v>
      </c>
      <c r="AQ9" s="2">
        <f t="shared" si="0"/>
        <v>-14</v>
      </c>
      <c r="AR9" s="2">
        <f t="shared" si="1"/>
        <v>-129</v>
      </c>
      <c r="AS9" s="2">
        <f t="shared" si="2"/>
        <v>-20</v>
      </c>
      <c r="AT9" s="2">
        <f t="shared" si="3"/>
        <v>-43</v>
      </c>
      <c r="AU9" s="2">
        <f t="shared" si="4"/>
        <v>-74</v>
      </c>
      <c r="AV9" s="2">
        <f t="shared" si="5"/>
        <v>-20</v>
      </c>
      <c r="AW9" s="2">
        <f t="shared" si="6"/>
        <v>-45</v>
      </c>
      <c r="AX9" s="2">
        <f t="shared" si="7"/>
        <v>22</v>
      </c>
      <c r="AY9" s="13">
        <f t="shared" si="8"/>
        <v>-21</v>
      </c>
    </row>
    <row r="10" spans="1:51" x14ac:dyDescent="0.2">
      <c r="A10" s="2">
        <f t="shared" si="10"/>
        <v>8</v>
      </c>
      <c r="B10" s="12">
        <f t="shared" ref="B10:K10" si="16">B8+20</f>
        <v>80</v>
      </c>
      <c r="C10" s="2">
        <f t="shared" si="16"/>
        <v>79</v>
      </c>
      <c r="D10" s="2">
        <f t="shared" si="16"/>
        <v>78</v>
      </c>
      <c r="E10" s="2">
        <f t="shared" si="16"/>
        <v>77</v>
      </c>
      <c r="F10" s="2">
        <f t="shared" si="16"/>
        <v>76</v>
      </c>
      <c r="G10" s="2">
        <f t="shared" si="16"/>
        <v>75</v>
      </c>
      <c r="H10" s="2">
        <f t="shared" si="16"/>
        <v>74</v>
      </c>
      <c r="I10" s="2">
        <f t="shared" si="16"/>
        <v>73</v>
      </c>
      <c r="J10" s="2">
        <f t="shared" si="16"/>
        <v>72</v>
      </c>
      <c r="K10" s="13">
        <f t="shared" si="16"/>
        <v>71</v>
      </c>
      <c r="L10" s="12" t="str">
        <f>INDEX('Draft Board'!$A$2:$AB$622,MATCH('Post-Mortem'!B10,'Draft Board'!$F$2:$F$622,0),3)</f>
        <v>Lucas Romero</v>
      </c>
      <c r="M10" s="12" t="str">
        <f>INDEX('Draft Board'!$A$2:$AB$622,MATCH('Post-Mortem'!C10,'Draft Board'!$F$2:$F$622,0),3)</f>
        <v>Bernabéi</v>
      </c>
      <c r="N10" s="12" t="str">
        <f>INDEX('Draft Board'!$A$2:$AB$622,MATCH('Post-Mortem'!D10,'Draft Board'!$F$2:$F$622,0),3)</f>
        <v>Gustavo Henrique</v>
      </c>
      <c r="O10" s="12" t="str">
        <f>INDEX('Draft Board'!$A$2:$AB$622,MATCH('Post-Mortem'!E10,'Draft Board'!$F$2:$F$622,0),3)</f>
        <v>Felipe Anderson</v>
      </c>
      <c r="P10" s="12" t="str">
        <f>INDEX('Draft Board'!$A$2:$AB$622,MATCH('Post-Mortem'!F10,'Draft Board'!$F$2:$F$622,0),3)</f>
        <v>Renato Kayzer</v>
      </c>
      <c r="Q10" s="12" t="str">
        <f>INDEX('Draft Board'!$A$2:$AB$622,MATCH('Post-Mortem'!G10,'Draft Board'!$F$2:$F$622,0),3)</f>
        <v>Villalba</v>
      </c>
      <c r="R10" s="12" t="str">
        <f>INDEX('Draft Board'!$A$2:$AB$622,MATCH('Post-Mortem'!H10,'Draft Board'!$F$2:$F$622,0),3)</f>
        <v>Guilherme Arana</v>
      </c>
      <c r="S10" s="12" t="str">
        <f>INDEX('Draft Board'!$A$2:$AB$622,MATCH('Post-Mortem'!I10,'Draft Board'!$F$2:$F$622,0),3)</f>
        <v>Gustavo Gómez</v>
      </c>
      <c r="T10" s="12" t="str">
        <f>INDEX('Draft Board'!$A$2:$AB$622,MATCH('Post-Mortem'!J10,'Draft Board'!$F$2:$F$622,0),3)</f>
        <v>Hugo Souza</v>
      </c>
      <c r="U10" s="22" t="str">
        <f>INDEX('Draft Board'!$A$2:$AB$622,MATCH('Post-Mortem'!K10,'Draft Board'!$F$2:$F$622,0),3)</f>
        <v>Andreas Pereira</v>
      </c>
      <c r="V10" s="12" t="str">
        <f>INDEX('Draft Board'!$A$2:$AB$622,MATCH('Post-Mortem'!B10,'Draft Board'!$F$2:$F$622,0),21)</f>
        <v>B+</v>
      </c>
      <c r="W10" s="12" t="str">
        <f>INDEX('Draft Board'!$A$2:$AB$622,MATCH('Post-Mortem'!C10,'Draft Board'!$F$2:$F$622,0),21)</f>
        <v>A-</v>
      </c>
      <c r="X10" s="12" t="str">
        <f>INDEX('Draft Board'!$A$2:$AB$622,MATCH('Post-Mortem'!D10,'Draft Board'!$F$2:$F$622,0),21)</f>
        <v>C+</v>
      </c>
      <c r="Y10" s="12">
        <f>INDEX('Draft Board'!$A$2:$AB$622,MATCH('Post-Mortem'!E10,'Draft Board'!$F$2:$F$622,0),21)</f>
        <v>0</v>
      </c>
      <c r="Z10" s="12" t="str">
        <f>INDEX('Draft Board'!$A$2:$AB$622,MATCH('Post-Mortem'!F10,'Draft Board'!$F$2:$F$622,0),21)</f>
        <v>B+</v>
      </c>
      <c r="AA10" s="12" t="str">
        <f>INDEX('Draft Board'!$A$2:$AB$622,MATCH('Post-Mortem'!G10,'Draft Board'!$F$2:$F$622,0),21)</f>
        <v>A-</v>
      </c>
      <c r="AB10" s="12" t="str">
        <f>INDEX('Draft Board'!$A$2:$AB$622,MATCH('Post-Mortem'!H10,'Draft Board'!$F$2:$F$622,0),21)</f>
        <v>C+</v>
      </c>
      <c r="AC10" s="12" t="str">
        <f>INDEX('Draft Board'!$A$2:$AB$622,MATCH('Post-Mortem'!I10,'Draft Board'!$F$2:$F$622,0),21)</f>
        <v>A-</v>
      </c>
      <c r="AD10" s="12" t="str">
        <f>INDEX('Draft Board'!$A$2:$AB$622,MATCH('Post-Mortem'!J10,'Draft Board'!$F$2:$F$622,0),21)</f>
        <v>D+</v>
      </c>
      <c r="AE10" s="22" t="str">
        <f>INDEX('Draft Board'!$A$2:$AB$622,MATCH('Post-Mortem'!K10,'Draft Board'!$F$2:$F$622,0),21)</f>
        <v>C</v>
      </c>
      <c r="AF10" s="12">
        <f>INDEX('Draft Board'!$A$2:$AB$622,MATCH('Post-Mortem'!B10,'Draft Board'!$F$2:$F$622,0),22)</f>
        <v>73</v>
      </c>
      <c r="AG10" s="2">
        <f>INDEX('Draft Board'!$A$2:$AB$622,MATCH('Post-Mortem'!C10,'Draft Board'!$F$2:$F$622,0),22)</f>
        <v>48</v>
      </c>
      <c r="AH10" s="2">
        <f>INDEX('Draft Board'!$A$2:$AB$622,MATCH('Post-Mortem'!D10,'Draft Board'!$F$2:$F$622,0),22)</f>
        <v>127</v>
      </c>
      <c r="AI10" s="2">
        <f>INDEX('Draft Board'!$A$2:$AB$622,MATCH('Post-Mortem'!E10,'Draft Board'!$F$2:$F$622,0),22)</f>
        <v>0</v>
      </c>
      <c r="AJ10" s="2">
        <f>INDEX('Draft Board'!$A$2:$AB$622,MATCH('Post-Mortem'!F10,'Draft Board'!$F$2:$F$622,0),22)</f>
        <v>79</v>
      </c>
      <c r="AK10" s="2">
        <f>INDEX('Draft Board'!$A$2:$AB$622,MATCH('Post-Mortem'!G10,'Draft Board'!$F$2:$F$622,0),22)</f>
        <v>49</v>
      </c>
      <c r="AL10" s="2">
        <f>INDEX('Draft Board'!$A$2:$AB$622,MATCH('Post-Mortem'!H10,'Draft Board'!$F$2:$F$622,0),22)</f>
        <v>135</v>
      </c>
      <c r="AM10" s="2">
        <f>INDEX('Draft Board'!$A$2:$AB$622,MATCH('Post-Mortem'!I10,'Draft Board'!$F$2:$F$622,0),22)</f>
        <v>59</v>
      </c>
      <c r="AN10" s="2">
        <f>INDEX('Draft Board'!$A$2:$AB$622,MATCH('Post-Mortem'!J10,'Draft Board'!$F$2:$F$622,0),22)</f>
        <v>228</v>
      </c>
      <c r="AO10" s="13">
        <f>INDEX('Draft Board'!$A$2:$AB$622,MATCH('Post-Mortem'!K10,'Draft Board'!$F$2:$F$622,0),22)</f>
        <v>185</v>
      </c>
      <c r="AP10" s="12">
        <f t="shared" si="9"/>
        <v>7</v>
      </c>
      <c r="AQ10" s="2">
        <f t="shared" si="0"/>
        <v>31</v>
      </c>
      <c r="AR10" s="2">
        <f t="shared" si="1"/>
        <v>-49</v>
      </c>
      <c r="AS10" s="2">
        <f t="shared" si="2"/>
        <v>77</v>
      </c>
      <c r="AT10" s="2">
        <f t="shared" si="3"/>
        <v>-3</v>
      </c>
      <c r="AU10" s="2">
        <f t="shared" si="4"/>
        <v>26</v>
      </c>
      <c r="AV10" s="2">
        <f t="shared" si="5"/>
        <v>-61</v>
      </c>
      <c r="AW10" s="2">
        <f t="shared" si="6"/>
        <v>14</v>
      </c>
      <c r="AX10" s="2">
        <f t="shared" si="7"/>
        <v>-156</v>
      </c>
      <c r="AY10" s="13">
        <f t="shared" si="8"/>
        <v>-114</v>
      </c>
    </row>
    <row r="11" spans="1:51" x14ac:dyDescent="0.2">
      <c r="A11" s="2">
        <f t="shared" si="10"/>
        <v>9</v>
      </c>
      <c r="B11" s="12">
        <f t="shared" ref="B11:K11" si="17">B9+20</f>
        <v>81</v>
      </c>
      <c r="C11" s="2">
        <f t="shared" si="17"/>
        <v>82</v>
      </c>
      <c r="D11" s="2">
        <f t="shared" si="17"/>
        <v>83</v>
      </c>
      <c r="E11" s="2">
        <f t="shared" si="17"/>
        <v>84</v>
      </c>
      <c r="F11" s="2">
        <f t="shared" si="17"/>
        <v>85</v>
      </c>
      <c r="G11" s="2">
        <f t="shared" si="17"/>
        <v>86</v>
      </c>
      <c r="H11" s="2">
        <f t="shared" si="17"/>
        <v>87</v>
      </c>
      <c r="I11" s="2">
        <f t="shared" si="17"/>
        <v>88</v>
      </c>
      <c r="J11" s="2">
        <f t="shared" si="17"/>
        <v>89</v>
      </c>
      <c r="K11" s="13">
        <f t="shared" si="17"/>
        <v>90</v>
      </c>
      <c r="L11" s="12" t="str">
        <f>INDEX('Draft Board'!$A$2:$AB$622,MATCH('Post-Mortem'!B11,'Draft Board'!$F$2:$F$622,0),3)</f>
        <v>Jean Lucas</v>
      </c>
      <c r="M11" s="12" t="str">
        <f>INDEX('Draft Board'!$A$2:$AB$622,MATCH('Post-Mortem'!C11,'Draft Board'!$F$2:$F$622,0),3)</f>
        <v>Enzo Díaz</v>
      </c>
      <c r="N11" s="12" t="str">
        <f>INDEX('Draft Board'!$A$2:$AB$622,MATCH('Post-Mortem'!D11,'Draft Board'!$F$2:$F$622,0),3)</f>
        <v>Vitão</v>
      </c>
      <c r="O11" s="12" t="str">
        <f>INDEX('Draft Board'!$A$2:$AB$622,MATCH('Post-Mortem'!E11,'Draft Board'!$F$2:$F$622,0),3)</f>
        <v>Murilo</v>
      </c>
      <c r="P11" s="12" t="str">
        <f>INDEX('Draft Board'!$A$2:$AB$622,MATCH('Post-Mortem'!F11,'Draft Board'!$F$2:$F$622,0),3)</f>
        <v>Arthur Melo</v>
      </c>
      <c r="Q11" s="12" t="str">
        <f>INDEX('Draft Board'!$A$2:$AB$622,MATCH('Post-Mortem'!G11,'Draft Board'!$F$2:$F$622,0),3)</f>
        <v>Savarino</v>
      </c>
      <c r="R11" s="12" t="str">
        <f>INDEX('Draft Board'!$A$2:$AB$622,MATCH('Post-Mortem'!H11,'Draft Board'!$F$2:$F$622,0),3)</f>
        <v>André Ramalho</v>
      </c>
      <c r="S11" s="12" t="str">
        <f>INDEX('Draft Board'!$A$2:$AB$622,MATCH('Post-Mortem'!I11,'Draft Board'!$F$2:$F$622,0),3)</f>
        <v>Léo Linck</v>
      </c>
      <c r="T11" s="12" t="str">
        <f>INDEX('Draft Board'!$A$2:$AB$622,MATCH('Post-Mortem'!J11,'Draft Board'!$F$2:$F$622,0),3)</f>
        <v>Lucas Piton</v>
      </c>
      <c r="U11" s="22" t="str">
        <f>INDEX('Draft Board'!$A$2:$AB$622,MATCH('Post-Mortem'!K11,'Draft Board'!$F$2:$F$622,0),3)</f>
        <v>Everton Ribeiro</v>
      </c>
      <c r="V11" s="12" t="str">
        <f>INDEX('Draft Board'!$A$2:$AB$622,MATCH('Post-Mortem'!B11,'Draft Board'!$F$2:$F$622,0),21)</f>
        <v>B+</v>
      </c>
      <c r="W11" s="12" t="str">
        <f>INDEX('Draft Board'!$A$2:$AB$622,MATCH('Post-Mortem'!C11,'Draft Board'!$F$2:$F$622,0),21)</f>
        <v>S-</v>
      </c>
      <c r="X11" s="12" t="str">
        <f>INDEX('Draft Board'!$A$2:$AB$622,MATCH('Post-Mortem'!D11,'Draft Board'!$F$2:$F$622,0),21)</f>
        <v>D+</v>
      </c>
      <c r="Y11" s="12" t="str">
        <f>INDEX('Draft Board'!$A$2:$AB$622,MATCH('Post-Mortem'!E11,'Draft Board'!$F$2:$F$622,0),21)</f>
        <v>C</v>
      </c>
      <c r="Z11" s="12" t="str">
        <f>INDEX('Draft Board'!$A$2:$AB$622,MATCH('Post-Mortem'!F11,'Draft Board'!$F$2:$F$622,0),21)</f>
        <v>B-</v>
      </c>
      <c r="AA11" s="12" t="str">
        <f>INDEX('Draft Board'!$A$2:$AB$622,MATCH('Post-Mortem'!G11,'Draft Board'!$F$2:$F$622,0),21)</f>
        <v>C+</v>
      </c>
      <c r="AB11" s="12" t="str">
        <f>INDEX('Draft Board'!$A$2:$AB$622,MATCH('Post-Mortem'!H11,'Draft Board'!$F$2:$F$622,0),21)</f>
        <v>C</v>
      </c>
      <c r="AC11" s="12" t="str">
        <f>INDEX('Draft Board'!$A$2:$AB$622,MATCH('Post-Mortem'!I11,'Draft Board'!$F$2:$F$622,0),21)</f>
        <v>D</v>
      </c>
      <c r="AD11" s="12" t="str">
        <f>INDEX('Draft Board'!$A$2:$AB$622,MATCH('Post-Mortem'!J11,'Draft Board'!$F$2:$F$622,0),21)</f>
        <v>B-</v>
      </c>
      <c r="AE11" s="22" t="str">
        <f>INDEX('Draft Board'!$A$2:$AB$622,MATCH('Post-Mortem'!K11,'Draft Board'!$F$2:$F$622,0),21)</f>
        <v>B-</v>
      </c>
      <c r="AF11" s="12">
        <f>INDEX('Draft Board'!$A$2:$AB$622,MATCH('Post-Mortem'!B11,'Draft Board'!$F$2:$F$622,0),22)</f>
        <v>77</v>
      </c>
      <c r="AG11" s="2">
        <f>INDEX('Draft Board'!$A$2:$AB$622,MATCH('Post-Mortem'!C11,'Draft Board'!$F$2:$F$622,0),22)</f>
        <v>16</v>
      </c>
      <c r="AH11" s="2">
        <f>INDEX('Draft Board'!$A$2:$AB$622,MATCH('Post-Mortem'!D11,'Draft Board'!$F$2:$F$622,0),22)</f>
        <v>236</v>
      </c>
      <c r="AI11" s="2">
        <f>INDEX('Draft Board'!$A$2:$AB$622,MATCH('Post-Mortem'!E11,'Draft Board'!$F$2:$F$622,0),22)</f>
        <v>171</v>
      </c>
      <c r="AJ11" s="2">
        <f>INDEX('Draft Board'!$A$2:$AB$622,MATCH('Post-Mortem'!F11,'Draft Board'!$F$2:$F$622,0),22)</f>
        <v>123</v>
      </c>
      <c r="AK11" s="2">
        <f>INDEX('Draft Board'!$A$2:$AB$622,MATCH('Post-Mortem'!G11,'Draft Board'!$F$2:$F$622,0),22)</f>
        <v>132</v>
      </c>
      <c r="AL11" s="2">
        <f>INDEX('Draft Board'!$A$2:$AB$622,MATCH('Post-Mortem'!H11,'Draft Board'!$F$2:$F$622,0),22)</f>
        <v>165</v>
      </c>
      <c r="AM11" s="2">
        <f>INDEX('Draft Board'!$A$2:$AB$622,MATCH('Post-Mortem'!I11,'Draft Board'!$F$2:$F$622,0),22)</f>
        <v>256</v>
      </c>
      <c r="AN11" s="2">
        <f>INDEX('Draft Board'!$A$2:$AB$622,MATCH('Post-Mortem'!J11,'Draft Board'!$F$2:$F$622,0),22)</f>
        <v>115</v>
      </c>
      <c r="AO11" s="13">
        <f>INDEX('Draft Board'!$A$2:$AB$622,MATCH('Post-Mortem'!K11,'Draft Board'!$F$2:$F$622,0),22)</f>
        <v>120</v>
      </c>
      <c r="AP11" s="12">
        <f t="shared" si="9"/>
        <v>4</v>
      </c>
      <c r="AQ11" s="2">
        <f t="shared" si="0"/>
        <v>66</v>
      </c>
      <c r="AR11" s="2">
        <f t="shared" si="1"/>
        <v>-153</v>
      </c>
      <c r="AS11" s="2">
        <f t="shared" si="2"/>
        <v>-87</v>
      </c>
      <c r="AT11" s="2">
        <f t="shared" si="3"/>
        <v>-38</v>
      </c>
      <c r="AU11" s="2">
        <f t="shared" si="4"/>
        <v>-46</v>
      </c>
      <c r="AV11" s="2">
        <f t="shared" si="5"/>
        <v>-78</v>
      </c>
      <c r="AW11" s="2">
        <f t="shared" si="6"/>
        <v>-168</v>
      </c>
      <c r="AX11" s="2">
        <f t="shared" si="7"/>
        <v>-26</v>
      </c>
      <c r="AY11" s="13">
        <f t="shared" si="8"/>
        <v>-30</v>
      </c>
    </row>
    <row r="12" spans="1:51" x14ac:dyDescent="0.2">
      <c r="A12" s="2">
        <f t="shared" si="10"/>
        <v>10</v>
      </c>
      <c r="B12" s="12">
        <f t="shared" ref="B12:K12" si="18">B10+20</f>
        <v>100</v>
      </c>
      <c r="C12" s="2">
        <f t="shared" si="18"/>
        <v>99</v>
      </c>
      <c r="D12" s="2">
        <f t="shared" si="18"/>
        <v>98</v>
      </c>
      <c r="E12" s="2">
        <f t="shared" si="18"/>
        <v>97</v>
      </c>
      <c r="F12" s="2">
        <f t="shared" si="18"/>
        <v>96</v>
      </c>
      <c r="G12" s="2">
        <f t="shared" si="18"/>
        <v>95</v>
      </c>
      <c r="H12" s="2">
        <f t="shared" si="18"/>
        <v>94</v>
      </c>
      <c r="I12" s="2">
        <f t="shared" si="18"/>
        <v>93</v>
      </c>
      <c r="J12" s="2">
        <f t="shared" si="18"/>
        <v>92</v>
      </c>
      <c r="K12" s="13">
        <f t="shared" si="18"/>
        <v>91</v>
      </c>
      <c r="L12" s="12" t="str">
        <f>INDEX('Draft Board'!$A$2:$AB$622,MATCH('Post-Mortem'!B12,'Draft Board'!$F$2:$F$622,0),3)</f>
        <v>Vitinho</v>
      </c>
      <c r="M12" s="12" t="str">
        <f>INDEX('Draft Board'!$A$2:$AB$622,MATCH('Post-Mortem'!C12,'Draft Board'!$F$2:$F$622,0),3)</f>
        <v>Khellven</v>
      </c>
      <c r="N12" s="12" t="str">
        <f>INDEX('Draft Board'!$A$2:$AB$622,MATCH('Post-Mortem'!D12,'Draft Board'!$F$2:$F$622,0),3)</f>
        <v>Gilberto</v>
      </c>
      <c r="O12" s="12" t="str">
        <f>INDEX('Draft Board'!$A$2:$AB$622,MATCH('Post-Mortem'!E12,'Draft Board'!$F$2:$F$622,0),3)</f>
        <v>Bruno Henrique</v>
      </c>
      <c r="P12" s="12" t="str">
        <f>INDEX('Draft Board'!$A$2:$AB$622,MATCH('Post-Mortem'!F12,'Draft Board'!$F$2:$F$622,0),3)</f>
        <v>Matheuzinho</v>
      </c>
      <c r="Q12" s="12" t="str">
        <f>INDEX('Draft Board'!$A$2:$AB$622,MATCH('Post-Mortem'!G12,'Draft Board'!$F$2:$F$622,0),3)</f>
        <v>Zapelli</v>
      </c>
      <c r="R12" s="12" t="str">
        <f>INDEX('Draft Board'!$A$2:$AB$622,MATCH('Post-Mortem'!H12,'Draft Board'!$F$2:$F$622,0),3)</f>
        <v>Carbonero</v>
      </c>
      <c r="S12" s="12" t="str">
        <f>INDEX('Draft Board'!$A$2:$AB$622,MATCH('Post-Mortem'!I12,'Draft Board'!$F$2:$F$622,0),3)</f>
        <v>Artur</v>
      </c>
      <c r="T12" s="12" t="str">
        <f>INDEX('Draft Board'!$A$2:$AB$622,MATCH('Post-Mortem'!J12,'Draft Board'!$F$2:$F$622,0),3)</f>
        <v>Erick Pulgar</v>
      </c>
      <c r="U12" s="22" t="str">
        <f>INDEX('Draft Board'!$A$2:$AB$622,MATCH('Post-Mortem'!K12,'Draft Board'!$F$2:$F$622,0),3)</f>
        <v>Lucas Moura</v>
      </c>
      <c r="V12" s="12" t="str">
        <f>INDEX('Draft Board'!$A$2:$AB$622,MATCH('Post-Mortem'!B12,'Draft Board'!$F$2:$F$622,0),21)</f>
        <v>A+</v>
      </c>
      <c r="W12" s="12" t="str">
        <f>INDEX('Draft Board'!$A$2:$AB$622,MATCH('Post-Mortem'!C12,'Draft Board'!$F$2:$F$622,0),21)</f>
        <v>A</v>
      </c>
      <c r="X12" s="12" t="str">
        <f>INDEX('Draft Board'!$A$2:$AB$622,MATCH('Post-Mortem'!D12,'Draft Board'!$F$2:$F$622,0),21)</f>
        <v>C</v>
      </c>
      <c r="Y12" s="12" t="str">
        <f>INDEX('Draft Board'!$A$2:$AB$622,MATCH('Post-Mortem'!E12,'Draft Board'!$F$2:$F$622,0),21)</f>
        <v>D+</v>
      </c>
      <c r="Z12" s="12" t="str">
        <f>INDEX('Draft Board'!$A$2:$AB$622,MATCH('Post-Mortem'!F12,'Draft Board'!$F$2:$F$622,0),21)</f>
        <v>A+</v>
      </c>
      <c r="AA12" s="12" t="str">
        <f>INDEX('Draft Board'!$A$2:$AB$622,MATCH('Post-Mortem'!G12,'Draft Board'!$F$2:$F$622,0),21)</f>
        <v>C+</v>
      </c>
      <c r="AB12" s="12" t="str">
        <f>INDEX('Draft Board'!$A$2:$AB$622,MATCH('Post-Mortem'!H12,'Draft Board'!$F$2:$F$622,0),21)</f>
        <v>B+</v>
      </c>
      <c r="AC12" s="12" t="str">
        <f>INDEX('Draft Board'!$A$2:$AB$622,MATCH('Post-Mortem'!I12,'Draft Board'!$F$2:$F$622,0),21)</f>
        <v>B-</v>
      </c>
      <c r="AD12" s="12" t="str">
        <f>INDEX('Draft Board'!$A$2:$AB$622,MATCH('Post-Mortem'!J12,'Draft Board'!$F$2:$F$622,0),21)</f>
        <v>D+</v>
      </c>
      <c r="AE12" s="22" t="str">
        <f>INDEX('Draft Board'!$A$2:$AB$622,MATCH('Post-Mortem'!K12,'Draft Board'!$F$2:$F$622,0),21)</f>
        <v>C</v>
      </c>
      <c r="AF12" s="12">
        <f>INDEX('Draft Board'!$A$2:$AB$622,MATCH('Post-Mortem'!B12,'Draft Board'!$F$2:$F$622,0),22)</f>
        <v>26</v>
      </c>
      <c r="AG12" s="2">
        <f>INDEX('Draft Board'!$A$2:$AB$622,MATCH('Post-Mortem'!C12,'Draft Board'!$F$2:$F$622,0),22)</f>
        <v>45</v>
      </c>
      <c r="AH12" s="2">
        <f>INDEX('Draft Board'!$A$2:$AB$622,MATCH('Post-Mortem'!D12,'Draft Board'!$F$2:$F$622,0),22)</f>
        <v>150</v>
      </c>
      <c r="AI12" s="2">
        <f>INDEX('Draft Board'!$A$2:$AB$622,MATCH('Post-Mortem'!E12,'Draft Board'!$F$2:$F$622,0),22)</f>
        <v>227</v>
      </c>
      <c r="AJ12" s="2">
        <f>INDEX('Draft Board'!$A$2:$AB$622,MATCH('Post-Mortem'!F12,'Draft Board'!$F$2:$F$622,0),22)</f>
        <v>21</v>
      </c>
      <c r="AK12" s="2">
        <f>INDEX('Draft Board'!$A$2:$AB$622,MATCH('Post-Mortem'!G12,'Draft Board'!$F$2:$F$622,0),22)</f>
        <v>142</v>
      </c>
      <c r="AL12" s="2">
        <f>INDEX('Draft Board'!$A$2:$AB$622,MATCH('Post-Mortem'!H12,'Draft Board'!$F$2:$F$622,0),22)</f>
        <v>78</v>
      </c>
      <c r="AM12" s="2">
        <f>INDEX('Draft Board'!$A$2:$AB$622,MATCH('Post-Mortem'!I12,'Draft Board'!$F$2:$F$622,0),22)</f>
        <v>116</v>
      </c>
      <c r="AN12" s="2">
        <f>INDEX('Draft Board'!$A$2:$AB$622,MATCH('Post-Mortem'!J12,'Draft Board'!$F$2:$F$622,0),22)</f>
        <v>246</v>
      </c>
      <c r="AO12" s="13">
        <f>INDEX('Draft Board'!$A$2:$AB$622,MATCH('Post-Mortem'!K12,'Draft Board'!$F$2:$F$622,0),22)</f>
        <v>147</v>
      </c>
      <c r="AP12" s="12">
        <f t="shared" si="9"/>
        <v>74</v>
      </c>
      <c r="AQ12" s="2">
        <f t="shared" si="0"/>
        <v>54</v>
      </c>
      <c r="AR12" s="2">
        <f t="shared" si="1"/>
        <v>-52</v>
      </c>
      <c r="AS12" s="2">
        <f t="shared" si="2"/>
        <v>-130</v>
      </c>
      <c r="AT12" s="2">
        <f t="shared" si="3"/>
        <v>75</v>
      </c>
      <c r="AU12" s="2">
        <f t="shared" si="4"/>
        <v>-47</v>
      </c>
      <c r="AV12" s="2">
        <f t="shared" si="5"/>
        <v>16</v>
      </c>
      <c r="AW12" s="2">
        <f t="shared" si="6"/>
        <v>-23</v>
      </c>
      <c r="AX12" s="2">
        <f t="shared" si="7"/>
        <v>-154</v>
      </c>
      <c r="AY12" s="13">
        <f t="shared" si="8"/>
        <v>-56</v>
      </c>
    </row>
    <row r="13" spans="1:51" x14ac:dyDescent="0.2">
      <c r="A13" s="2">
        <f t="shared" si="10"/>
        <v>11</v>
      </c>
      <c r="B13" s="12">
        <f t="shared" ref="B13:K13" si="19">B11+20</f>
        <v>101</v>
      </c>
      <c r="C13" s="2">
        <f t="shared" si="19"/>
        <v>102</v>
      </c>
      <c r="D13" s="2">
        <f t="shared" si="19"/>
        <v>103</v>
      </c>
      <c r="E13" s="2">
        <f t="shared" si="19"/>
        <v>104</v>
      </c>
      <c r="F13" s="2">
        <f t="shared" si="19"/>
        <v>105</v>
      </c>
      <c r="G13" s="2">
        <f t="shared" si="19"/>
        <v>106</v>
      </c>
      <c r="H13" s="2">
        <f t="shared" si="19"/>
        <v>107</v>
      </c>
      <c r="I13" s="2">
        <f t="shared" si="19"/>
        <v>108</v>
      </c>
      <c r="J13" s="2">
        <f t="shared" si="19"/>
        <v>109</v>
      </c>
      <c r="K13" s="13">
        <f t="shared" si="19"/>
        <v>110</v>
      </c>
      <c r="L13" s="12" t="str">
        <f>INDEX('Draft Board'!$A$2:$AB$622,MATCH('Post-Mortem'!B13,'Draft Board'!$F$2:$F$622,0),3)</f>
        <v>Lucas Barbosa</v>
      </c>
      <c r="M13" s="12" t="str">
        <f>INDEX('Draft Board'!$A$2:$AB$622,MATCH('Post-Mortem'!C13,'Draft Board'!$F$2:$F$622,0),3)</f>
        <v>Andrés Gómez</v>
      </c>
      <c r="N13" s="12" t="str">
        <f>INDEX('Draft Board'!$A$2:$AB$622,MATCH('Post-Mortem'!D13,'Draft Board'!$F$2:$F$622,0),3)</f>
        <v>Igor Vinícius</v>
      </c>
      <c r="O13" s="12" t="str">
        <f>INDEX('Draft Board'!$A$2:$AB$622,MATCH('Post-Mortem'!E13,'Draft Board'!$F$2:$F$622,0),3)</f>
        <v>Neto</v>
      </c>
      <c r="P13" s="12" t="str">
        <f>INDEX('Draft Board'!$A$2:$AB$622,MATCH('Post-Mortem'!F13,'Draft Board'!$F$2:$F$622,0),3)</f>
        <v>Santiago Mingo</v>
      </c>
      <c r="Q13" s="12" t="str">
        <f>INDEX('Draft Board'!$A$2:$AB$622,MATCH('Post-Mortem'!G13,'Draft Board'!$F$2:$F$622,0),3)</f>
        <v>Rollheiser</v>
      </c>
      <c r="R13" s="12" t="str">
        <f>INDEX('Draft Board'!$A$2:$AB$622,MATCH('Post-Mortem'!H13,'Draft Board'!$F$2:$F$622,0),3)</f>
        <v>Marlon Freitas</v>
      </c>
      <c r="S13" s="12" t="str">
        <f>INDEX('Draft Board'!$A$2:$AB$622,MATCH('Post-Mortem'!I13,'Draft Board'!$F$2:$F$622,0),3)</f>
        <v>Junior Alonso</v>
      </c>
      <c r="T13" s="12" t="str">
        <f>INDEX('Draft Board'!$A$2:$AB$622,MATCH('Post-Mortem'!J13,'Draft Board'!$F$2:$F$622,0),3)</f>
        <v>Matheus Bidu</v>
      </c>
      <c r="U13" s="22" t="str">
        <f>INDEX('Draft Board'!$A$2:$AB$622,MATCH('Post-Mortem'!K13,'Draft Board'!$F$2:$F$622,0),3)</f>
        <v>Wagner Leonardo</v>
      </c>
      <c r="V13" s="12" t="str">
        <f>INDEX('Draft Board'!$A$2:$AB$622,MATCH('Post-Mortem'!B13,'Draft Board'!$F$2:$F$622,0),21)</f>
        <v>A-</v>
      </c>
      <c r="W13" s="12" t="str">
        <f>INDEX('Draft Board'!$A$2:$AB$622,MATCH('Post-Mortem'!C13,'Draft Board'!$F$2:$F$622,0),21)</f>
        <v>B+</v>
      </c>
      <c r="X13" s="12" t="str">
        <f>INDEX('Draft Board'!$A$2:$AB$622,MATCH('Post-Mortem'!D13,'Draft Board'!$F$2:$F$622,0),21)</f>
        <v>B-</v>
      </c>
      <c r="Y13" s="12" t="str">
        <f>INDEX('Draft Board'!$A$2:$AB$622,MATCH('Post-Mortem'!E13,'Draft Board'!$F$2:$F$622,0),21)</f>
        <v>C-</v>
      </c>
      <c r="Z13" s="12" t="str">
        <f>INDEX('Draft Board'!$A$2:$AB$622,MATCH('Post-Mortem'!F13,'Draft Board'!$F$2:$F$622,0),21)</f>
        <v>D+</v>
      </c>
      <c r="AA13" s="12" t="str">
        <f>INDEX('Draft Board'!$A$2:$AB$622,MATCH('Post-Mortem'!G13,'Draft Board'!$F$2:$F$622,0),21)</f>
        <v>C</v>
      </c>
      <c r="AB13" s="12" t="str">
        <f>INDEX('Draft Board'!$A$2:$AB$622,MATCH('Post-Mortem'!H13,'Draft Board'!$F$2:$F$622,0),21)</f>
        <v>D+</v>
      </c>
      <c r="AC13" s="12" t="str">
        <f>INDEX('Draft Board'!$A$2:$AB$622,MATCH('Post-Mortem'!I13,'Draft Board'!$F$2:$F$622,0),21)</f>
        <v>C+</v>
      </c>
      <c r="AD13" s="12" t="str">
        <f>INDEX('Draft Board'!$A$2:$AB$622,MATCH('Post-Mortem'!J13,'Draft Board'!$F$2:$F$622,0),21)</f>
        <v>A</v>
      </c>
      <c r="AE13" s="22" t="str">
        <f>INDEX('Draft Board'!$A$2:$AB$622,MATCH('Post-Mortem'!K13,'Draft Board'!$F$2:$F$622,0),21)</f>
        <v>C-</v>
      </c>
      <c r="AF13" s="12">
        <f>INDEX('Draft Board'!$A$2:$AB$622,MATCH('Post-Mortem'!B13,'Draft Board'!$F$2:$F$622,0),22)</f>
        <v>54</v>
      </c>
      <c r="AG13" s="2">
        <f>INDEX('Draft Board'!$A$2:$AB$622,MATCH('Post-Mortem'!C13,'Draft Board'!$F$2:$F$622,0),22)</f>
        <v>71</v>
      </c>
      <c r="AH13" s="2">
        <f>INDEX('Draft Board'!$A$2:$AB$622,MATCH('Post-Mortem'!D13,'Draft Board'!$F$2:$F$622,0),22)</f>
        <v>114</v>
      </c>
      <c r="AI13" s="2">
        <f>INDEX('Draft Board'!$A$2:$AB$622,MATCH('Post-Mortem'!E13,'Draft Board'!$F$2:$F$622,0),22)</f>
        <v>194</v>
      </c>
      <c r="AJ13" s="2">
        <f>INDEX('Draft Board'!$A$2:$AB$622,MATCH('Post-Mortem'!F13,'Draft Board'!$F$2:$F$622,0),22)</f>
        <v>233</v>
      </c>
      <c r="AK13" s="2">
        <f>INDEX('Draft Board'!$A$2:$AB$622,MATCH('Post-Mortem'!G13,'Draft Board'!$F$2:$F$622,0),22)</f>
        <v>186</v>
      </c>
      <c r="AL13" s="2">
        <f>INDEX('Draft Board'!$A$2:$AB$622,MATCH('Post-Mortem'!H13,'Draft Board'!$F$2:$F$622,0),22)</f>
        <v>250</v>
      </c>
      <c r="AM13" s="2">
        <f>INDEX('Draft Board'!$A$2:$AB$622,MATCH('Post-Mortem'!I13,'Draft Board'!$F$2:$F$622,0),22)</f>
        <v>124</v>
      </c>
      <c r="AN13" s="2">
        <f>INDEX('Draft Board'!$A$2:$AB$622,MATCH('Post-Mortem'!J13,'Draft Board'!$F$2:$F$622,0),22)</f>
        <v>42</v>
      </c>
      <c r="AO13" s="13">
        <f>INDEX('Draft Board'!$A$2:$AB$622,MATCH('Post-Mortem'!K13,'Draft Board'!$F$2:$F$622,0),22)</f>
        <v>206</v>
      </c>
      <c r="AP13" s="12">
        <f t="shared" si="9"/>
        <v>47</v>
      </c>
      <c r="AQ13" s="2">
        <f t="shared" si="0"/>
        <v>31</v>
      </c>
      <c r="AR13" s="2">
        <f t="shared" si="1"/>
        <v>-11</v>
      </c>
      <c r="AS13" s="2">
        <f t="shared" si="2"/>
        <v>-90</v>
      </c>
      <c r="AT13" s="2">
        <f t="shared" si="3"/>
        <v>-128</v>
      </c>
      <c r="AU13" s="2">
        <f t="shared" si="4"/>
        <v>-80</v>
      </c>
      <c r="AV13" s="2">
        <f t="shared" si="5"/>
        <v>-143</v>
      </c>
      <c r="AW13" s="2">
        <f t="shared" si="6"/>
        <v>-16</v>
      </c>
      <c r="AX13" s="2">
        <f t="shared" si="7"/>
        <v>67</v>
      </c>
      <c r="AY13" s="13">
        <f t="shared" si="8"/>
        <v>-96</v>
      </c>
    </row>
    <row r="14" spans="1:51" x14ac:dyDescent="0.2">
      <c r="A14" s="2">
        <f t="shared" si="10"/>
        <v>12</v>
      </c>
      <c r="B14" s="12">
        <f t="shared" ref="B14:K14" si="20">B12+20</f>
        <v>120</v>
      </c>
      <c r="C14" s="2">
        <f t="shared" si="20"/>
        <v>119</v>
      </c>
      <c r="D14" s="2">
        <f t="shared" si="20"/>
        <v>118</v>
      </c>
      <c r="E14" s="2">
        <f t="shared" si="20"/>
        <v>117</v>
      </c>
      <c r="F14" s="2">
        <f t="shared" si="20"/>
        <v>116</v>
      </c>
      <c r="G14" s="2">
        <f t="shared" si="20"/>
        <v>115</v>
      </c>
      <c r="H14" s="2">
        <f t="shared" si="20"/>
        <v>114</v>
      </c>
      <c r="I14" s="2">
        <f t="shared" si="20"/>
        <v>113</v>
      </c>
      <c r="J14" s="2">
        <f t="shared" si="20"/>
        <v>112</v>
      </c>
      <c r="K14" s="13">
        <f t="shared" si="20"/>
        <v>111</v>
      </c>
      <c r="L14" s="12" t="str">
        <f>INDEX('Draft Board'!$A$2:$AB$622,MATCH('Post-Mortem'!B14,'Draft Board'!$F$2:$F$622,0),3)</f>
        <v>Raniele</v>
      </c>
      <c r="M14" s="12" t="str">
        <f>INDEX('Draft Board'!$A$2:$AB$622,MATCH('Post-Mortem'!C14,'Draft Board'!$F$2:$F$622,0),3)</f>
        <v>Bobadilla</v>
      </c>
      <c r="N14" s="12" t="str">
        <f>INDEX('Draft Board'!$A$2:$AB$622,MATCH('Post-Mortem'!D14,'Draft Board'!$F$2:$F$622,0),3)</f>
        <v>Gabriel Brazão</v>
      </c>
      <c r="O14" s="12" t="str">
        <f>INDEX('Draft Board'!$A$2:$AB$622,MATCH('Post-Mortem'!E14,'Draft Board'!$F$2:$F$622,0),3)</f>
        <v>Christian</v>
      </c>
      <c r="P14" s="12" t="str">
        <f>INDEX('Draft Board'!$A$2:$AB$622,MATCH('Post-Mortem'!F14,'Draft Board'!$F$2:$F$622,0),3)</f>
        <v>Paulinho</v>
      </c>
      <c r="Q14" s="12" t="str">
        <f>INDEX('Draft Board'!$A$2:$AB$622,MATCH('Post-Mortem'!G14,'Draft Board'!$F$2:$F$622,0),3)</f>
        <v>Breno Lopes</v>
      </c>
      <c r="R14" s="12" t="str">
        <f>INDEX('Draft Board'!$A$2:$AB$622,MATCH('Post-Mortem'!H14,'Draft Board'!$F$2:$F$622,0),3)</f>
        <v>Danielzinho</v>
      </c>
      <c r="S14" s="12" t="str">
        <f>INDEX('Draft Board'!$A$2:$AB$622,MATCH('Post-Mortem'!I14,'Draft Board'!$F$2:$F$622,0),3)</f>
        <v>Calleri</v>
      </c>
      <c r="T14" s="12" t="str">
        <f>INDEX('Draft Board'!$A$2:$AB$622,MATCH('Post-Mortem'!J14,'Draft Board'!$F$2:$F$622,0),3)</f>
        <v>Danilo</v>
      </c>
      <c r="U14" s="22" t="str">
        <f>INDEX('Draft Board'!$A$2:$AB$622,MATCH('Post-Mortem'!K14,'Draft Board'!$F$2:$F$622,0),3)</f>
        <v>Ayrton Lucas</v>
      </c>
      <c r="V14" s="12" t="str">
        <f>INDEX('Draft Board'!$A$2:$AB$622,MATCH('Post-Mortem'!B14,'Draft Board'!$F$2:$F$622,0),21)</f>
        <v>B+</v>
      </c>
      <c r="W14" s="12" t="str">
        <f>INDEX('Draft Board'!$A$2:$AB$622,MATCH('Post-Mortem'!C14,'Draft Board'!$F$2:$F$622,0),21)</f>
        <v>B+</v>
      </c>
      <c r="X14" s="12" t="str">
        <f>INDEX('Draft Board'!$A$2:$AB$622,MATCH('Post-Mortem'!D14,'Draft Board'!$F$2:$F$622,0),21)</f>
        <v>B-</v>
      </c>
      <c r="Y14" s="12" t="str">
        <f>INDEX('Draft Board'!$A$2:$AB$622,MATCH('Post-Mortem'!E14,'Draft Board'!$F$2:$F$622,0),21)</f>
        <v>B+</v>
      </c>
      <c r="Z14" s="12" t="str">
        <f>INDEX('Draft Board'!$A$2:$AB$622,MATCH('Post-Mortem'!F14,'Draft Board'!$F$2:$F$622,0),21)</f>
        <v>A-</v>
      </c>
      <c r="AA14" s="12" t="str">
        <f>INDEX('Draft Board'!$A$2:$AB$622,MATCH('Post-Mortem'!G14,'Draft Board'!$F$2:$F$622,0),21)</f>
        <v>B</v>
      </c>
      <c r="AB14" s="12" t="str">
        <f>INDEX('Draft Board'!$A$2:$AB$622,MATCH('Post-Mortem'!H14,'Draft Board'!$F$2:$F$622,0),21)</f>
        <v>C</v>
      </c>
      <c r="AC14" s="12" t="str">
        <f>INDEX('Draft Board'!$A$2:$AB$622,MATCH('Post-Mortem'!I14,'Draft Board'!$F$2:$F$622,0),21)</f>
        <v>B+</v>
      </c>
      <c r="AD14" s="12" t="str">
        <f>INDEX('Draft Board'!$A$2:$AB$622,MATCH('Post-Mortem'!J14,'Draft Board'!$F$2:$F$622,0),21)</f>
        <v>C-</v>
      </c>
      <c r="AE14" s="22" t="str">
        <f>INDEX('Draft Board'!$A$2:$AB$622,MATCH('Post-Mortem'!K14,'Draft Board'!$F$2:$F$622,0),21)</f>
        <v>C</v>
      </c>
      <c r="AF14" s="12">
        <f>INDEX('Draft Board'!$A$2:$AB$622,MATCH('Post-Mortem'!B14,'Draft Board'!$F$2:$F$622,0),22)</f>
        <v>80</v>
      </c>
      <c r="AG14" s="2">
        <f>INDEX('Draft Board'!$A$2:$AB$622,MATCH('Post-Mortem'!C14,'Draft Board'!$F$2:$F$622,0),22)</f>
        <v>85</v>
      </c>
      <c r="AH14" s="2">
        <f>INDEX('Draft Board'!$A$2:$AB$622,MATCH('Post-Mortem'!D14,'Draft Board'!$F$2:$F$622,0),22)</f>
        <v>107</v>
      </c>
      <c r="AI14" s="2">
        <f>INDEX('Draft Board'!$A$2:$AB$622,MATCH('Post-Mortem'!E14,'Draft Board'!$F$2:$F$622,0),22)</f>
        <v>81</v>
      </c>
      <c r="AJ14" s="2">
        <f>INDEX('Draft Board'!$A$2:$AB$622,MATCH('Post-Mortem'!F14,'Draft Board'!$F$2:$F$622,0),22)</f>
        <v>60</v>
      </c>
      <c r="AK14" s="2">
        <f>INDEX('Draft Board'!$A$2:$AB$622,MATCH('Post-Mortem'!G14,'Draft Board'!$F$2:$F$622,0),22)</f>
        <v>94</v>
      </c>
      <c r="AL14" s="2">
        <f>INDEX('Draft Board'!$A$2:$AB$622,MATCH('Post-Mortem'!H14,'Draft Board'!$F$2:$F$622,0),22)</f>
        <v>179</v>
      </c>
      <c r="AM14" s="2">
        <f>INDEX('Draft Board'!$A$2:$AB$622,MATCH('Post-Mortem'!I14,'Draft Board'!$F$2:$F$622,0),22)</f>
        <v>68</v>
      </c>
      <c r="AN14" s="2">
        <f>INDEX('Draft Board'!$A$2:$AB$622,MATCH('Post-Mortem'!J14,'Draft Board'!$F$2:$F$622,0),22)</f>
        <v>199</v>
      </c>
      <c r="AO14" s="13">
        <f>INDEX('Draft Board'!$A$2:$AB$622,MATCH('Post-Mortem'!K14,'Draft Board'!$F$2:$F$622,0),22)</f>
        <v>159</v>
      </c>
      <c r="AP14" s="12">
        <f t="shared" si="9"/>
        <v>40</v>
      </c>
      <c r="AQ14" s="2">
        <f t="shared" si="0"/>
        <v>34</v>
      </c>
      <c r="AR14" s="2">
        <f t="shared" si="1"/>
        <v>11</v>
      </c>
      <c r="AS14" s="2">
        <f t="shared" si="2"/>
        <v>36</v>
      </c>
      <c r="AT14" s="2">
        <f t="shared" si="3"/>
        <v>56</v>
      </c>
      <c r="AU14" s="2">
        <f t="shared" si="4"/>
        <v>21</v>
      </c>
      <c r="AV14" s="2">
        <f t="shared" si="5"/>
        <v>-65</v>
      </c>
      <c r="AW14" s="2">
        <f t="shared" si="6"/>
        <v>45</v>
      </c>
      <c r="AX14" s="2">
        <f t="shared" si="7"/>
        <v>-87</v>
      </c>
      <c r="AY14" s="13">
        <f t="shared" si="8"/>
        <v>-48</v>
      </c>
    </row>
    <row r="15" spans="1:51" x14ac:dyDescent="0.2">
      <c r="A15" s="2">
        <f t="shared" si="10"/>
        <v>13</v>
      </c>
      <c r="B15" s="12">
        <f t="shared" ref="B15:K15" si="21">B13+20</f>
        <v>121</v>
      </c>
      <c r="C15" s="2">
        <f t="shared" si="21"/>
        <v>122</v>
      </c>
      <c r="D15" s="2">
        <f t="shared" si="21"/>
        <v>123</v>
      </c>
      <c r="E15" s="2">
        <f t="shared" si="21"/>
        <v>124</v>
      </c>
      <c r="F15" s="2">
        <f t="shared" si="21"/>
        <v>125</v>
      </c>
      <c r="G15" s="2">
        <f t="shared" si="21"/>
        <v>126</v>
      </c>
      <c r="H15" s="2">
        <f t="shared" si="21"/>
        <v>127</v>
      </c>
      <c r="I15" s="2">
        <f t="shared" si="21"/>
        <v>128</v>
      </c>
      <c r="J15" s="2">
        <f t="shared" si="21"/>
        <v>129</v>
      </c>
      <c r="K15" s="13">
        <f t="shared" si="21"/>
        <v>130</v>
      </c>
      <c r="L15" s="12" t="str">
        <f>INDEX('Draft Board'!$A$2:$AB$622,MATCH('Post-Mortem'!B15,'Draft Board'!$F$2:$F$622,0),3)</f>
        <v>Vitor Hugo</v>
      </c>
      <c r="M15" s="12" t="str">
        <f>INDEX('Draft Board'!$A$2:$AB$622,MATCH('Post-Mortem'!C15,'Draft Board'!$F$2:$F$622,0),3)</f>
        <v>Cassierra</v>
      </c>
      <c r="N15" s="12" t="str">
        <f>INDEX('Draft Board'!$A$2:$AB$622,MATCH('Post-Mortem'!D15,'Draft Board'!$F$2:$F$622,0),3)</f>
        <v>Henry Mosquera</v>
      </c>
      <c r="O15" s="12" t="str">
        <f>INDEX('Draft Board'!$A$2:$AB$622,MATCH('Post-Mortem'!E15,'Draft Board'!$F$2:$F$622,0),3)</f>
        <v>Marçal</v>
      </c>
      <c r="P15" s="12" t="str">
        <f>INDEX('Draft Board'!$A$2:$AB$622,MATCH('Post-Mortem'!F15,'Draft Board'!$F$2:$F$622,0),3)</f>
        <v>Allan</v>
      </c>
      <c r="Q15" s="12" t="str">
        <f>INDEX('Draft Board'!$A$2:$AB$622,MATCH('Post-Mortem'!G15,'Draft Board'!$F$2:$F$622,0),3)</f>
        <v>Cleiton</v>
      </c>
      <c r="R15" s="12" t="str">
        <f>INDEX('Draft Board'!$A$2:$AB$622,MATCH('Post-Mortem'!H15,'Draft Board'!$F$2:$F$622,0),3)</f>
        <v>Gustavo Marques</v>
      </c>
      <c r="S15" s="12" t="str">
        <f>INDEX('Draft Board'!$A$2:$AB$622,MATCH('Post-Mortem'!I15,'Draft Board'!$F$2:$F$622,0),3)</f>
        <v>Matheuzinho</v>
      </c>
      <c r="T15" s="12" t="str">
        <f>INDEX('Draft Board'!$A$2:$AB$622,MATCH('Post-Mortem'!J15,'Draft Board'!$F$2:$F$622,0),3)</f>
        <v>Luan Cândido</v>
      </c>
      <c r="U15" s="22" t="str">
        <f>INDEX('Draft Board'!$A$2:$AB$622,MATCH('Post-Mortem'!K15,'Draft Board'!$F$2:$F$622,0),3)</f>
        <v>Ramón Sosa</v>
      </c>
      <c r="V15" s="12" t="str">
        <f>INDEX('Draft Board'!$A$2:$AB$622,MATCH('Post-Mortem'!B15,'Draft Board'!$F$2:$F$622,0),21)</f>
        <v>B-</v>
      </c>
      <c r="W15" s="12" t="str">
        <f>INDEX('Draft Board'!$A$2:$AB$622,MATCH('Post-Mortem'!C15,'Draft Board'!$F$2:$F$622,0),21)</f>
        <v>A-</v>
      </c>
      <c r="X15" s="12" t="str">
        <f>INDEX('Draft Board'!$A$2:$AB$622,MATCH('Post-Mortem'!D15,'Draft Board'!$F$2:$F$622,0),21)</f>
        <v>D</v>
      </c>
      <c r="Y15" s="12">
        <f>INDEX('Draft Board'!$A$2:$AB$622,MATCH('Post-Mortem'!E15,'Draft Board'!$F$2:$F$622,0),21)</f>
        <v>0</v>
      </c>
      <c r="Z15" s="12" t="str">
        <f>INDEX('Draft Board'!$A$2:$AB$622,MATCH('Post-Mortem'!F15,'Draft Board'!$F$2:$F$622,0),21)</f>
        <v>D-</v>
      </c>
      <c r="AA15" s="12" t="str">
        <f>INDEX('Draft Board'!$A$2:$AB$622,MATCH('Post-Mortem'!G15,'Draft Board'!$F$2:$F$622,0),21)</f>
        <v>C-</v>
      </c>
      <c r="AB15" s="12" t="str">
        <f>INDEX('Draft Board'!$A$2:$AB$622,MATCH('Post-Mortem'!H15,'Draft Board'!$F$2:$F$622,0),21)</f>
        <v>D-</v>
      </c>
      <c r="AC15" s="12" t="str">
        <f>INDEX('Draft Board'!$A$2:$AB$622,MATCH('Post-Mortem'!I15,'Draft Board'!$F$2:$F$622,0),21)</f>
        <v>B-</v>
      </c>
      <c r="AD15" s="12">
        <f>INDEX('Draft Board'!$A$2:$AB$622,MATCH('Post-Mortem'!J15,'Draft Board'!$F$2:$F$622,0),21)</f>
        <v>0</v>
      </c>
      <c r="AE15" s="22">
        <f>INDEX('Draft Board'!$A$2:$AB$622,MATCH('Post-Mortem'!K15,'Draft Board'!$F$2:$F$622,0),21)</f>
        <v>0</v>
      </c>
      <c r="AF15" s="12">
        <f>INDEX('Draft Board'!$A$2:$AB$622,MATCH('Post-Mortem'!B15,'Draft Board'!$F$2:$F$622,0),22)</f>
        <v>118</v>
      </c>
      <c r="AG15" s="2">
        <f>INDEX('Draft Board'!$A$2:$AB$622,MATCH('Post-Mortem'!C15,'Draft Board'!$F$2:$F$622,0),22)</f>
        <v>53</v>
      </c>
      <c r="AH15" s="2">
        <f>INDEX('Draft Board'!$A$2:$AB$622,MATCH('Post-Mortem'!D15,'Draft Board'!$F$2:$F$622,0),22)</f>
        <v>287</v>
      </c>
      <c r="AI15" s="2">
        <f>INDEX('Draft Board'!$A$2:$AB$622,MATCH('Post-Mortem'!E15,'Draft Board'!$F$2:$F$622,0),22)</f>
        <v>0</v>
      </c>
      <c r="AJ15" s="2">
        <f>INDEX('Draft Board'!$A$2:$AB$622,MATCH('Post-Mortem'!F15,'Draft Board'!$F$2:$F$622,0),22)</f>
        <v>297</v>
      </c>
      <c r="AK15" s="2">
        <f>INDEX('Draft Board'!$A$2:$AB$622,MATCH('Post-Mortem'!G15,'Draft Board'!$F$2:$F$622,0),22)</f>
        <v>191</v>
      </c>
      <c r="AL15" s="2">
        <f>INDEX('Draft Board'!$A$2:$AB$622,MATCH('Post-Mortem'!H15,'Draft Board'!$F$2:$F$622,0),22)</f>
        <v>291</v>
      </c>
      <c r="AM15" s="2">
        <f>INDEX('Draft Board'!$A$2:$AB$622,MATCH('Post-Mortem'!I15,'Draft Board'!$F$2:$F$622,0),22)</f>
        <v>119</v>
      </c>
      <c r="AN15" s="2">
        <f>INDEX('Draft Board'!$A$2:$AB$622,MATCH('Post-Mortem'!J15,'Draft Board'!$F$2:$F$622,0),22)</f>
        <v>0</v>
      </c>
      <c r="AO15" s="13">
        <f>INDEX('Draft Board'!$A$2:$AB$622,MATCH('Post-Mortem'!K15,'Draft Board'!$F$2:$F$622,0),22)</f>
        <v>0</v>
      </c>
      <c r="AP15" s="12">
        <f t="shared" si="9"/>
        <v>3</v>
      </c>
      <c r="AQ15" s="2">
        <f t="shared" si="0"/>
        <v>69</v>
      </c>
      <c r="AR15" s="2">
        <f t="shared" si="1"/>
        <v>-164</v>
      </c>
      <c r="AS15" s="2">
        <f t="shared" si="2"/>
        <v>124</v>
      </c>
      <c r="AT15" s="2">
        <f t="shared" si="3"/>
        <v>-172</v>
      </c>
      <c r="AU15" s="2">
        <f t="shared" si="4"/>
        <v>-65</v>
      </c>
      <c r="AV15" s="2">
        <f t="shared" si="5"/>
        <v>-164</v>
      </c>
      <c r="AW15" s="2">
        <f t="shared" si="6"/>
        <v>9</v>
      </c>
      <c r="AX15" s="2">
        <f t="shared" si="7"/>
        <v>129</v>
      </c>
      <c r="AY15" s="13">
        <f t="shared" si="8"/>
        <v>130</v>
      </c>
    </row>
    <row r="16" spans="1:51" x14ac:dyDescent="0.2">
      <c r="A16" s="2">
        <f t="shared" si="10"/>
        <v>14</v>
      </c>
      <c r="B16" s="12">
        <f t="shared" ref="B16:K16" si="22">B14+20</f>
        <v>140</v>
      </c>
      <c r="C16" s="2">
        <f t="shared" si="22"/>
        <v>139</v>
      </c>
      <c r="D16" s="2">
        <f t="shared" si="22"/>
        <v>138</v>
      </c>
      <c r="E16" s="2">
        <f t="shared" si="22"/>
        <v>137</v>
      </c>
      <c r="F16" s="2">
        <f t="shared" si="22"/>
        <v>136</v>
      </c>
      <c r="G16" s="2">
        <f t="shared" si="22"/>
        <v>135</v>
      </c>
      <c r="H16" s="2">
        <f t="shared" si="22"/>
        <v>134</v>
      </c>
      <c r="I16" s="2">
        <f t="shared" si="22"/>
        <v>133</v>
      </c>
      <c r="J16" s="2">
        <f t="shared" si="22"/>
        <v>132</v>
      </c>
      <c r="K16" s="13">
        <f t="shared" si="22"/>
        <v>131</v>
      </c>
      <c r="L16" s="12" t="str">
        <f>INDEX('Draft Board'!$A$2:$AB$622,MATCH('Post-Mortem'!B16,'Draft Board'!$F$2:$F$622,0),3)</f>
        <v>Rafael</v>
      </c>
      <c r="M16" s="12" t="str">
        <f>INDEX('Draft Board'!$A$2:$AB$622,MATCH('Post-Mortem'!C16,'Draft Board'!$F$2:$F$622,0),3)</f>
        <v>Gustavo Martins</v>
      </c>
      <c r="N16" s="12" t="str">
        <f>INDEX('Draft Board'!$A$2:$AB$622,MATCH('Post-Mortem'!D16,'Draft Board'!$F$2:$F$622,0),3)</f>
        <v>Lyanco</v>
      </c>
      <c r="O16" s="12" t="str">
        <f>INDEX('Draft Board'!$A$2:$AB$622,MATCH('Post-Mortem'!E16,'Draft Board'!$F$2:$F$622,0),3)</f>
        <v>John Kennedy</v>
      </c>
      <c r="P16" s="12" t="str">
        <f>INDEX('Draft Board'!$A$2:$AB$622,MATCH('Post-Mortem'!F16,'Draft Board'!$F$2:$F$622,0),3)</f>
        <v>Freytes</v>
      </c>
      <c r="Q16" s="12" t="str">
        <f>INDEX('Draft Board'!$A$2:$AB$622,MATCH('Post-Mortem'!G16,'Draft Board'!$F$2:$F$622,0),3)</f>
        <v>Marlon</v>
      </c>
      <c r="R16" s="12" t="str">
        <f>INDEX('Draft Board'!$A$2:$AB$622,MATCH('Post-Mortem'!H16,'Draft Board'!$F$2:$F$622,0),3)</f>
        <v>Mendoza</v>
      </c>
      <c r="S16" s="12" t="str">
        <f>INDEX('Draft Board'!$A$2:$AB$622,MATCH('Post-Mortem'!I16,'Draft Board'!$F$2:$F$622,0),3)</f>
        <v>Lautaro Díaz</v>
      </c>
      <c r="T16" s="12" t="str">
        <f>INDEX('Draft Board'!$A$2:$AB$622,MATCH('Post-Mortem'!J16,'Draft Board'!$F$2:$F$622,0),3)</f>
        <v>Braithwaite</v>
      </c>
      <c r="U16" s="22" t="str">
        <f>INDEX('Draft Board'!$A$2:$AB$622,MATCH('Post-Mortem'!K16,'Draft Board'!$F$2:$F$622,0),3)</f>
        <v>Marcos Antônio</v>
      </c>
      <c r="V16" s="12" t="str">
        <f>INDEX('Draft Board'!$A$2:$AB$622,MATCH('Post-Mortem'!B16,'Draft Board'!$F$2:$F$622,0),21)</f>
        <v>A</v>
      </c>
      <c r="W16" s="12" t="str">
        <f>INDEX('Draft Board'!$A$2:$AB$622,MATCH('Post-Mortem'!C16,'Draft Board'!$F$2:$F$622,0),21)</f>
        <v>C</v>
      </c>
      <c r="X16" s="12">
        <f>INDEX('Draft Board'!$A$2:$AB$622,MATCH('Post-Mortem'!D16,'Draft Board'!$F$2:$F$622,0),21)</f>
        <v>0</v>
      </c>
      <c r="Y16" s="12" t="str">
        <f>INDEX('Draft Board'!$A$2:$AB$622,MATCH('Post-Mortem'!E16,'Draft Board'!$F$2:$F$622,0),21)</f>
        <v>D+</v>
      </c>
      <c r="Z16" s="12" t="str">
        <f>INDEX('Draft Board'!$A$2:$AB$622,MATCH('Post-Mortem'!F16,'Draft Board'!$F$2:$F$622,0),21)</f>
        <v>C-</v>
      </c>
      <c r="AA16" s="12" t="str">
        <f>INDEX('Draft Board'!$A$2:$AB$622,MATCH('Post-Mortem'!G16,'Draft Board'!$F$2:$F$622,0),21)</f>
        <v>A-</v>
      </c>
      <c r="AB16" s="12" t="str">
        <f>INDEX('Draft Board'!$A$2:$AB$622,MATCH('Post-Mortem'!H16,'Draft Board'!$F$2:$F$622,0),21)</f>
        <v>C</v>
      </c>
      <c r="AC16" s="12">
        <f>INDEX('Draft Board'!$A$2:$AB$622,MATCH('Post-Mortem'!I16,'Draft Board'!$F$2:$F$622,0),21)</f>
        <v>0</v>
      </c>
      <c r="AD16" s="12">
        <f>INDEX('Draft Board'!$A$2:$AB$622,MATCH('Post-Mortem'!J16,'Draft Board'!$F$2:$F$622,0),21)</f>
        <v>0</v>
      </c>
      <c r="AE16" s="22" t="str">
        <f>INDEX('Draft Board'!$A$2:$AB$622,MATCH('Post-Mortem'!K16,'Draft Board'!$F$2:$F$622,0),21)</f>
        <v>D+</v>
      </c>
      <c r="AF16" s="12">
        <f>INDEX('Draft Board'!$A$2:$AB$622,MATCH('Post-Mortem'!B16,'Draft Board'!$F$2:$F$622,0),22)</f>
        <v>37</v>
      </c>
      <c r="AG16" s="2">
        <f>INDEX('Draft Board'!$A$2:$AB$622,MATCH('Post-Mortem'!C16,'Draft Board'!$F$2:$F$622,0),22)</f>
        <v>152</v>
      </c>
      <c r="AH16" s="2">
        <f>INDEX('Draft Board'!$A$2:$AB$622,MATCH('Post-Mortem'!D16,'Draft Board'!$F$2:$F$622,0),22)</f>
        <v>0</v>
      </c>
      <c r="AI16" s="2">
        <f>INDEX('Draft Board'!$A$2:$AB$622,MATCH('Post-Mortem'!E16,'Draft Board'!$F$2:$F$622,0),22)</f>
        <v>234</v>
      </c>
      <c r="AJ16" s="2">
        <f>INDEX('Draft Board'!$A$2:$AB$622,MATCH('Post-Mortem'!F16,'Draft Board'!$F$2:$F$622,0),22)</f>
        <v>205</v>
      </c>
      <c r="AK16" s="2">
        <f>INDEX('Draft Board'!$A$2:$AB$622,MATCH('Post-Mortem'!G16,'Draft Board'!$F$2:$F$622,0),22)</f>
        <v>51</v>
      </c>
      <c r="AL16" s="2">
        <f>INDEX('Draft Board'!$A$2:$AB$622,MATCH('Post-Mortem'!H16,'Draft Board'!$F$2:$F$622,0),22)</f>
        <v>170</v>
      </c>
      <c r="AM16" s="2">
        <f>INDEX('Draft Board'!$A$2:$AB$622,MATCH('Post-Mortem'!I16,'Draft Board'!$F$2:$F$622,0),22)</f>
        <v>0</v>
      </c>
      <c r="AN16" s="2">
        <f>INDEX('Draft Board'!$A$2:$AB$622,MATCH('Post-Mortem'!J16,'Draft Board'!$F$2:$F$622,0),22)</f>
        <v>0</v>
      </c>
      <c r="AO16" s="13">
        <f>INDEX('Draft Board'!$A$2:$AB$622,MATCH('Post-Mortem'!K16,'Draft Board'!$F$2:$F$622,0),22)</f>
        <v>252</v>
      </c>
      <c r="AP16" s="12">
        <f t="shared" si="9"/>
        <v>103</v>
      </c>
      <c r="AQ16" s="2">
        <f t="shared" si="0"/>
        <v>-13</v>
      </c>
      <c r="AR16" s="2">
        <f t="shared" si="1"/>
        <v>138</v>
      </c>
      <c r="AS16" s="2">
        <f t="shared" si="2"/>
        <v>-97</v>
      </c>
      <c r="AT16" s="2">
        <f t="shared" si="3"/>
        <v>-69</v>
      </c>
      <c r="AU16" s="2">
        <f t="shared" si="4"/>
        <v>84</v>
      </c>
      <c r="AV16" s="2">
        <f t="shared" si="5"/>
        <v>-36</v>
      </c>
      <c r="AW16" s="2">
        <f t="shared" si="6"/>
        <v>133</v>
      </c>
      <c r="AX16" s="2">
        <f t="shared" si="7"/>
        <v>132</v>
      </c>
      <c r="AY16" s="13">
        <f t="shared" si="8"/>
        <v>-121</v>
      </c>
    </row>
    <row r="17" spans="1:51" x14ac:dyDescent="0.2">
      <c r="A17" s="2">
        <f t="shared" si="10"/>
        <v>15</v>
      </c>
      <c r="B17" s="12">
        <f t="shared" ref="B17:K17" si="23">B15+20</f>
        <v>141</v>
      </c>
      <c r="C17" s="2">
        <f t="shared" si="23"/>
        <v>142</v>
      </c>
      <c r="D17" s="2">
        <f t="shared" si="23"/>
        <v>143</v>
      </c>
      <c r="E17" s="2">
        <f t="shared" si="23"/>
        <v>144</v>
      </c>
      <c r="F17" s="2">
        <f t="shared" si="23"/>
        <v>145</v>
      </c>
      <c r="G17" s="2">
        <f t="shared" si="23"/>
        <v>146</v>
      </c>
      <c r="H17" s="2">
        <f t="shared" si="23"/>
        <v>147</v>
      </c>
      <c r="I17" s="2">
        <f t="shared" si="23"/>
        <v>148</v>
      </c>
      <c r="J17" s="2">
        <f t="shared" si="23"/>
        <v>149</v>
      </c>
      <c r="K17" s="13">
        <f t="shared" si="23"/>
        <v>150</v>
      </c>
      <c r="L17" s="12" t="str">
        <f>INDEX('Draft Board'!$A$2:$AB$622,MATCH('Post-Mortem'!B17,'Draft Board'!$F$2:$F$622,0),3)</f>
        <v>Josué</v>
      </c>
      <c r="M17" s="12" t="str">
        <f>INDEX('Draft Board'!$A$2:$AB$622,MATCH('Post-Mortem'!C17,'Draft Board'!$F$2:$F$622,0),3)</f>
        <v>Victor Gabriel</v>
      </c>
      <c r="N17" s="12" t="str">
        <f>INDEX('Draft Board'!$A$2:$AB$622,MATCH('Post-Mortem'!D17,'Draft Board'!$F$2:$F$622,0),3)</f>
        <v>Alan Minda</v>
      </c>
      <c r="O17" s="12" t="str">
        <f>INDEX('Draft Board'!$A$2:$AB$622,MATCH('Post-Mortem'!E17,'Draft Board'!$F$2:$F$622,0),3)</f>
        <v>Rony</v>
      </c>
      <c r="P17" s="12" t="str">
        <f>INDEX('Draft Board'!$A$2:$AB$622,MATCH('Post-Mortem'!F17,'Draft Board'!$F$2:$F$622,0),3)</f>
        <v>Emerson Royal</v>
      </c>
      <c r="Q17" s="12" t="str">
        <f>INDEX('Draft Board'!$A$2:$AB$622,MATCH('Post-Mortem'!G17,'Draft Board'!$F$2:$F$622,0),3)</f>
        <v>Vitinho</v>
      </c>
      <c r="R17" s="12" t="str">
        <f>INDEX('Draft Board'!$A$2:$AB$622,MATCH('Post-Mortem'!H17,'Draft Board'!$F$2:$F$622,0),3)</f>
        <v>Nuno Moreira</v>
      </c>
      <c r="S17" s="12" t="str">
        <f>INDEX('Draft Board'!$A$2:$AB$622,MATCH('Post-Mortem'!I17,'Draft Board'!$F$2:$F$622,0),3)</f>
        <v>Rafael Carvalheira</v>
      </c>
      <c r="T17" s="12" t="str">
        <f>INDEX('Draft Board'!$A$2:$AB$622,MATCH('Post-Mortem'!J17,'Draft Board'!$F$2:$F$622,0),3)</f>
        <v>De la Cruz</v>
      </c>
      <c r="U17" s="22" t="str">
        <f>INDEX('Draft Board'!$A$2:$AB$622,MATCH('Post-Mortem'!K17,'Draft Board'!$F$2:$F$622,0),3)</f>
        <v>Dudu</v>
      </c>
      <c r="V17" s="12" t="str">
        <f>INDEX('Draft Board'!$A$2:$AB$622,MATCH('Post-Mortem'!B17,'Draft Board'!$F$2:$F$622,0),21)</f>
        <v>B+</v>
      </c>
      <c r="W17" s="12" t="str">
        <f>INDEX('Draft Board'!$A$2:$AB$622,MATCH('Post-Mortem'!C17,'Draft Board'!$F$2:$F$622,0),21)</f>
        <v>C</v>
      </c>
      <c r="X17" s="12">
        <f>INDEX('Draft Board'!$A$2:$AB$622,MATCH('Post-Mortem'!D17,'Draft Board'!$F$2:$F$622,0),21)</f>
        <v>0</v>
      </c>
      <c r="Y17" s="12" t="str">
        <f>INDEX('Draft Board'!$A$2:$AB$622,MATCH('Post-Mortem'!E17,'Draft Board'!$F$2:$F$622,0),21)</f>
        <v>B+</v>
      </c>
      <c r="Z17" s="12" t="str">
        <f>INDEX('Draft Board'!$A$2:$AB$622,MATCH('Post-Mortem'!F17,'Draft Board'!$F$2:$F$622,0),21)</f>
        <v>A-</v>
      </c>
      <c r="AA17" s="12" t="str">
        <f>INDEX('Draft Board'!$A$2:$AB$622,MATCH('Post-Mortem'!G17,'Draft Board'!$F$2:$F$622,0),21)</f>
        <v>B+</v>
      </c>
      <c r="AB17" s="12" t="str">
        <f>INDEX('Draft Board'!$A$2:$AB$622,MATCH('Post-Mortem'!H17,'Draft Board'!$F$2:$F$622,0),21)</f>
        <v>B</v>
      </c>
      <c r="AC17" s="12" t="str">
        <f>INDEX('Draft Board'!$A$2:$AB$622,MATCH('Post-Mortem'!I17,'Draft Board'!$F$2:$F$622,0),21)</f>
        <v>C-</v>
      </c>
      <c r="AD17" s="12">
        <f>INDEX('Draft Board'!$A$2:$AB$622,MATCH('Post-Mortem'!J17,'Draft Board'!$F$2:$F$622,0),21)</f>
        <v>0</v>
      </c>
      <c r="AE17" s="22" t="str">
        <f>INDEX('Draft Board'!$A$2:$AB$622,MATCH('Post-Mortem'!K17,'Draft Board'!$F$2:$F$622,0),21)</f>
        <v>C</v>
      </c>
      <c r="AF17" s="12">
        <f>INDEX('Draft Board'!$A$2:$AB$622,MATCH('Post-Mortem'!B17,'Draft Board'!$F$2:$F$622,0),22)</f>
        <v>82</v>
      </c>
      <c r="AG17" s="2">
        <f>INDEX('Draft Board'!$A$2:$AB$622,MATCH('Post-Mortem'!C17,'Draft Board'!$F$2:$F$622,0),22)</f>
        <v>158</v>
      </c>
      <c r="AH17" s="2">
        <f>INDEX('Draft Board'!$A$2:$AB$622,MATCH('Post-Mortem'!D17,'Draft Board'!$F$2:$F$622,0),22)</f>
        <v>0</v>
      </c>
      <c r="AI17" s="2">
        <f>INDEX('Draft Board'!$A$2:$AB$622,MATCH('Post-Mortem'!E17,'Draft Board'!$F$2:$F$622,0),22)</f>
        <v>67</v>
      </c>
      <c r="AJ17" s="2">
        <f>INDEX('Draft Board'!$A$2:$AB$622,MATCH('Post-Mortem'!F17,'Draft Board'!$F$2:$F$622,0),22)</f>
        <v>50</v>
      </c>
      <c r="AK17" s="2">
        <f>INDEX('Draft Board'!$A$2:$AB$622,MATCH('Post-Mortem'!G17,'Draft Board'!$F$2:$F$622,0),22)</f>
        <v>75</v>
      </c>
      <c r="AL17" s="2">
        <f>INDEX('Draft Board'!$A$2:$AB$622,MATCH('Post-Mortem'!H17,'Draft Board'!$F$2:$F$622,0),22)</f>
        <v>90</v>
      </c>
      <c r="AM17" s="2">
        <f>INDEX('Draft Board'!$A$2:$AB$622,MATCH('Post-Mortem'!I17,'Draft Board'!$F$2:$F$622,0),22)</f>
        <v>220</v>
      </c>
      <c r="AN17" s="2">
        <f>INDEX('Draft Board'!$A$2:$AB$622,MATCH('Post-Mortem'!J17,'Draft Board'!$F$2:$F$622,0),22)</f>
        <v>0</v>
      </c>
      <c r="AO17" s="13">
        <f>INDEX('Draft Board'!$A$2:$AB$622,MATCH('Post-Mortem'!K17,'Draft Board'!$F$2:$F$622,0),22)</f>
        <v>174</v>
      </c>
      <c r="AP17" s="12">
        <f t="shared" si="9"/>
        <v>59</v>
      </c>
      <c r="AQ17" s="2">
        <f t="shared" si="0"/>
        <v>-16</v>
      </c>
      <c r="AR17" s="2">
        <f t="shared" si="1"/>
        <v>143</v>
      </c>
      <c r="AS17" s="2">
        <f t="shared" si="2"/>
        <v>77</v>
      </c>
      <c r="AT17" s="2">
        <f t="shared" si="3"/>
        <v>95</v>
      </c>
      <c r="AU17" s="2">
        <f t="shared" si="4"/>
        <v>71</v>
      </c>
      <c r="AV17" s="2">
        <f t="shared" si="5"/>
        <v>57</v>
      </c>
      <c r="AW17" s="2">
        <f t="shared" si="6"/>
        <v>-72</v>
      </c>
      <c r="AX17" s="2">
        <f t="shared" si="7"/>
        <v>149</v>
      </c>
      <c r="AY17" s="13">
        <f t="shared" si="8"/>
        <v>-24</v>
      </c>
    </row>
    <row r="18" spans="1:51" x14ac:dyDescent="0.2">
      <c r="A18" s="2">
        <f t="shared" si="10"/>
        <v>16</v>
      </c>
      <c r="B18" s="12">
        <f t="shared" ref="B18:K18" si="24">B16+20</f>
        <v>160</v>
      </c>
      <c r="C18" s="2">
        <f t="shared" si="24"/>
        <v>159</v>
      </c>
      <c r="D18" s="2">
        <f t="shared" si="24"/>
        <v>158</v>
      </c>
      <c r="E18" s="2">
        <f t="shared" si="24"/>
        <v>157</v>
      </c>
      <c r="F18" s="2">
        <f t="shared" si="24"/>
        <v>156</v>
      </c>
      <c r="G18" s="2">
        <f t="shared" si="24"/>
        <v>155</v>
      </c>
      <c r="H18" s="2">
        <f t="shared" si="24"/>
        <v>154</v>
      </c>
      <c r="I18" s="2">
        <f t="shared" si="24"/>
        <v>153</v>
      </c>
      <c r="J18" s="2">
        <f t="shared" si="24"/>
        <v>152</v>
      </c>
      <c r="K18" s="13">
        <f t="shared" si="24"/>
        <v>151</v>
      </c>
      <c r="L18" s="12" t="str">
        <f>INDEX('Draft Board'!$A$2:$AB$622,MATCH('Post-Mortem'!B18,'Draft Board'!$F$2:$F$622,0),3)</f>
        <v>Galeano</v>
      </c>
      <c r="M18" s="12" t="str">
        <f>INDEX('Draft Board'!$A$2:$AB$622,MATCH('Post-Mortem'!C18,'Draft Board'!$F$2:$F$622,0),3)</f>
        <v>Amuzu</v>
      </c>
      <c r="N18" s="12" t="str">
        <f>INDEX('Draft Board'!$A$2:$AB$622,MATCH('Post-Mortem'!D18,'Draft Board'!$F$2:$F$622,0),3)</f>
        <v>Ferreira</v>
      </c>
      <c r="O18" s="12" t="str">
        <f>INDEX('Draft Board'!$A$2:$AB$622,MATCH('Post-Mortem'!E18,'Draft Board'!$F$2:$F$622,0),3)</f>
        <v>Bernard</v>
      </c>
      <c r="P18" s="12" t="str">
        <f>INDEX('Draft Board'!$A$2:$AB$622,MATCH('Post-Mortem'!F18,'Draft Board'!$F$2:$F$622,0),3)</f>
        <v>Adson</v>
      </c>
      <c r="Q18" s="12" t="str">
        <f>INDEX('Draft Board'!$A$2:$AB$622,MATCH('Post-Mortem'!G18,'Draft Board'!$F$2:$F$622,0),3)</f>
        <v>Weverton</v>
      </c>
      <c r="R18" s="12" t="str">
        <f>INDEX('Draft Board'!$A$2:$AB$622,MATCH('Post-Mortem'!H18,'Draft Board'!$F$2:$F$622,0),3)</f>
        <v>Renê</v>
      </c>
      <c r="S18" s="12" t="str">
        <f>INDEX('Draft Board'!$A$2:$AB$622,MATCH('Post-Mortem'!I18,'Draft Board'!$F$2:$F$622,0),3)</f>
        <v>Breno Bidon</v>
      </c>
      <c r="T18" s="12" t="str">
        <f>INDEX('Draft Board'!$A$2:$AB$622,MATCH('Post-Mortem'!J18,'Draft Board'!$F$2:$F$622,0),3)</f>
        <v>Giay</v>
      </c>
      <c r="U18" s="22" t="str">
        <f>INDEX('Draft Board'!$A$2:$AB$622,MATCH('Post-Mortem'!K18,'Draft Board'!$F$2:$F$622,0),3)</f>
        <v>Carrillo</v>
      </c>
      <c r="V18" s="12" t="str">
        <f>INDEX('Draft Board'!$A$2:$AB$622,MATCH('Post-Mortem'!B18,'Draft Board'!$F$2:$F$622,0),21)</f>
        <v>A-</v>
      </c>
      <c r="W18" s="12" t="str">
        <f>INDEX('Draft Board'!$A$2:$AB$622,MATCH('Post-Mortem'!C18,'Draft Board'!$F$2:$F$622,0),21)</f>
        <v>D+</v>
      </c>
      <c r="X18" s="12" t="str">
        <f>INDEX('Draft Board'!$A$2:$AB$622,MATCH('Post-Mortem'!D18,'Draft Board'!$F$2:$F$622,0),21)</f>
        <v>B+</v>
      </c>
      <c r="Y18" s="12" t="str">
        <f>INDEX('Draft Board'!$A$2:$AB$622,MATCH('Post-Mortem'!E18,'Draft Board'!$F$2:$F$622,0),21)</f>
        <v>D-</v>
      </c>
      <c r="Z18" s="12">
        <f>INDEX('Draft Board'!$A$2:$AB$622,MATCH('Post-Mortem'!F18,'Draft Board'!$F$2:$F$622,0),21)</f>
        <v>0</v>
      </c>
      <c r="AA18" s="12" t="str">
        <f>INDEX('Draft Board'!$A$2:$AB$622,MATCH('Post-Mortem'!G18,'Draft Board'!$F$2:$F$622,0),21)</f>
        <v>B-</v>
      </c>
      <c r="AB18" s="12" t="str">
        <f>INDEX('Draft Board'!$A$2:$AB$622,MATCH('Post-Mortem'!H18,'Draft Board'!$F$2:$F$622,0),21)</f>
        <v>A+</v>
      </c>
      <c r="AC18" s="12" t="str">
        <f>INDEX('Draft Board'!$A$2:$AB$622,MATCH('Post-Mortem'!I18,'Draft Board'!$F$2:$F$622,0),21)</f>
        <v>C+</v>
      </c>
      <c r="AD18" s="12">
        <f>INDEX('Draft Board'!$A$2:$AB$622,MATCH('Post-Mortem'!J18,'Draft Board'!$F$2:$F$622,0),21)</f>
        <v>0</v>
      </c>
      <c r="AE18" s="22" t="str">
        <f>INDEX('Draft Board'!$A$2:$AB$622,MATCH('Post-Mortem'!K18,'Draft Board'!$F$2:$F$622,0),21)</f>
        <v>C-</v>
      </c>
      <c r="AF18" s="12">
        <f>INDEX('Draft Board'!$A$2:$AB$622,MATCH('Post-Mortem'!B18,'Draft Board'!$F$2:$F$622,0),22)</f>
        <v>52</v>
      </c>
      <c r="AG18" s="2">
        <f>INDEX('Draft Board'!$A$2:$AB$622,MATCH('Post-Mortem'!C18,'Draft Board'!$F$2:$F$622,0),22)</f>
        <v>229</v>
      </c>
      <c r="AH18" s="2">
        <f>INDEX('Draft Board'!$A$2:$AB$622,MATCH('Post-Mortem'!D18,'Draft Board'!$F$2:$F$622,0),22)</f>
        <v>72</v>
      </c>
      <c r="AI18" s="2">
        <f>INDEX('Draft Board'!$A$2:$AB$622,MATCH('Post-Mortem'!E18,'Draft Board'!$F$2:$F$622,0),22)</f>
        <v>299</v>
      </c>
      <c r="AJ18" s="2">
        <f>INDEX('Draft Board'!$A$2:$AB$622,MATCH('Post-Mortem'!F18,'Draft Board'!$F$2:$F$622,0),22)</f>
        <v>0</v>
      </c>
      <c r="AK18" s="2">
        <f>INDEX('Draft Board'!$A$2:$AB$622,MATCH('Post-Mortem'!G18,'Draft Board'!$F$2:$F$622,0),22)</f>
        <v>117</v>
      </c>
      <c r="AL18" s="2">
        <f>INDEX('Draft Board'!$A$2:$AB$622,MATCH('Post-Mortem'!H18,'Draft Board'!$F$2:$F$622,0),22)</f>
        <v>25</v>
      </c>
      <c r="AM18" s="2">
        <f>INDEX('Draft Board'!$A$2:$AB$622,MATCH('Post-Mortem'!I18,'Draft Board'!$F$2:$F$622,0),22)</f>
        <v>134</v>
      </c>
      <c r="AN18" s="2">
        <f>INDEX('Draft Board'!$A$2:$AB$622,MATCH('Post-Mortem'!J18,'Draft Board'!$F$2:$F$622,0),22)</f>
        <v>0</v>
      </c>
      <c r="AO18" s="13">
        <f>INDEX('Draft Board'!$A$2:$AB$622,MATCH('Post-Mortem'!K18,'Draft Board'!$F$2:$F$622,0),22)</f>
        <v>223</v>
      </c>
      <c r="AP18" s="12">
        <f t="shared" si="9"/>
        <v>108</v>
      </c>
      <c r="AQ18" s="2">
        <f t="shared" si="0"/>
        <v>-70</v>
      </c>
      <c r="AR18" s="2">
        <f t="shared" si="1"/>
        <v>86</v>
      </c>
      <c r="AS18" s="2">
        <f t="shared" si="2"/>
        <v>-142</v>
      </c>
      <c r="AT18" s="2">
        <f t="shared" si="3"/>
        <v>156</v>
      </c>
      <c r="AU18" s="2">
        <f t="shared" si="4"/>
        <v>38</v>
      </c>
      <c r="AV18" s="2">
        <f t="shared" si="5"/>
        <v>129</v>
      </c>
      <c r="AW18" s="2">
        <f t="shared" si="6"/>
        <v>19</v>
      </c>
      <c r="AX18" s="2">
        <f t="shared" si="7"/>
        <v>152</v>
      </c>
      <c r="AY18" s="13">
        <f t="shared" si="8"/>
        <v>-72</v>
      </c>
    </row>
    <row r="19" spans="1:51" x14ac:dyDescent="0.2">
      <c r="A19" s="2">
        <f t="shared" si="10"/>
        <v>17</v>
      </c>
      <c r="B19" s="12">
        <f t="shared" ref="B19:K19" si="25">B17+20</f>
        <v>161</v>
      </c>
      <c r="C19" s="2">
        <f t="shared" si="25"/>
        <v>162</v>
      </c>
      <c r="D19" s="2">
        <f t="shared" si="25"/>
        <v>163</v>
      </c>
      <c r="E19" s="2">
        <f t="shared" si="25"/>
        <v>164</v>
      </c>
      <c r="F19" s="2">
        <f t="shared" si="25"/>
        <v>165</v>
      </c>
      <c r="G19" s="2">
        <f t="shared" si="25"/>
        <v>166</v>
      </c>
      <c r="H19" s="2">
        <f t="shared" si="25"/>
        <v>167</v>
      </c>
      <c r="I19" s="2">
        <f t="shared" si="25"/>
        <v>168</v>
      </c>
      <c r="J19" s="2">
        <f t="shared" si="25"/>
        <v>169</v>
      </c>
      <c r="K19" s="13">
        <f t="shared" si="25"/>
        <v>170</v>
      </c>
      <c r="L19" s="12" t="str">
        <f>INDEX('Draft Board'!$A$2:$AB$622,MATCH('Post-Mortem'!B19,'Draft Board'!$F$2:$F$622,0),3)</f>
        <v>Maik</v>
      </c>
      <c r="M19" s="12" t="str">
        <f>INDEX('Draft Board'!$A$2:$AB$622,MATCH('Post-Mortem'!C19,'Draft Board'!$F$2:$F$622,0),3)</f>
        <v>Igor Formiga</v>
      </c>
      <c r="N19" s="12" t="str">
        <f>INDEX('Draft Board'!$A$2:$AB$622,MATCH('Post-Mortem'!D19,'Draft Board'!$F$2:$F$622,0),3)</f>
        <v>Baralhas</v>
      </c>
      <c r="O19" s="12" t="str">
        <f>INDEX('Draft Board'!$A$2:$AB$622,MATCH('Post-Mortem'!E19,'Draft Board'!$F$2:$F$622,0),3)</f>
        <v>Aguirre</v>
      </c>
      <c r="P19" s="12" t="str">
        <f>INDEX('Draft Board'!$A$2:$AB$622,MATCH('Post-Mortem'!F19,'Draft Board'!$F$2:$F$622,0),3)</f>
        <v>Santos</v>
      </c>
      <c r="Q19" s="12" t="str">
        <f>INDEX('Draft Board'!$A$2:$AB$622,MATCH('Post-Mortem'!G19,'Draft Board'!$F$2:$F$622,0),3)</f>
        <v>Gabriel Paulista</v>
      </c>
      <c r="R19" s="12" t="str">
        <f>INDEX('Draft Board'!$A$2:$AB$622,MATCH('Post-Mortem'!H19,'Draft Board'!$F$2:$F$622,0),3)</f>
        <v>Willian Machado</v>
      </c>
      <c r="S19" s="12" t="str">
        <f>INDEX('Draft Board'!$A$2:$AB$622,MATCH('Post-Mortem'!I19,'Draft Board'!$F$2:$F$622,0),3)</f>
        <v>João Victor</v>
      </c>
      <c r="T19" s="12" t="str">
        <f>INDEX('Draft Board'!$A$2:$AB$622,MATCH('Post-Mortem'!J19,'Draft Board'!$F$2:$F$622,0),3)</f>
        <v>Chico da Costa</v>
      </c>
      <c r="U19" s="22" t="str">
        <f>INDEX('Draft Board'!$A$2:$AB$622,MATCH('Post-Mortem'!K19,'Draft Board'!$F$2:$F$622,0),3)</f>
        <v>Rochet</v>
      </c>
      <c r="V19" s="12" t="str">
        <f>INDEX('Draft Board'!$A$2:$AB$622,MATCH('Post-Mortem'!B19,'Draft Board'!$F$2:$F$622,0),21)</f>
        <v>A</v>
      </c>
      <c r="W19" s="12" t="str">
        <f>INDEX('Draft Board'!$A$2:$AB$622,MATCH('Post-Mortem'!C19,'Draft Board'!$F$2:$F$622,0),21)</f>
        <v>C</v>
      </c>
      <c r="X19" s="12" t="str">
        <f>INDEX('Draft Board'!$A$2:$AB$622,MATCH('Post-Mortem'!D19,'Draft Board'!$F$2:$F$622,0),21)</f>
        <v>B</v>
      </c>
      <c r="Y19" s="12" t="str">
        <f>INDEX('Draft Board'!$A$2:$AB$622,MATCH('Post-Mortem'!E19,'Draft Board'!$F$2:$F$622,0),21)</f>
        <v>C-</v>
      </c>
      <c r="Z19" s="12" t="str">
        <f>INDEX('Draft Board'!$A$2:$AB$622,MATCH('Post-Mortem'!F19,'Draft Board'!$F$2:$F$622,0),21)</f>
        <v>B-</v>
      </c>
      <c r="AA19" s="12" t="str">
        <f>INDEX('Draft Board'!$A$2:$AB$622,MATCH('Post-Mortem'!G19,'Draft Board'!$F$2:$F$622,0),21)</f>
        <v>C+</v>
      </c>
      <c r="AB19" s="12" t="str">
        <f>INDEX('Draft Board'!$A$2:$AB$622,MATCH('Post-Mortem'!H19,'Draft Board'!$F$2:$F$622,0),21)</f>
        <v>C</v>
      </c>
      <c r="AC19" s="12" t="str">
        <f>INDEX('Draft Board'!$A$2:$AB$622,MATCH('Post-Mortem'!I19,'Draft Board'!$F$2:$F$622,0),21)</f>
        <v>C-</v>
      </c>
      <c r="AD19" s="12">
        <f>INDEX('Draft Board'!$A$2:$AB$622,MATCH('Post-Mortem'!J19,'Draft Board'!$F$2:$F$622,0),21)</f>
        <v>0</v>
      </c>
      <c r="AE19" s="22" t="str">
        <f>INDEX('Draft Board'!$A$2:$AB$622,MATCH('Post-Mortem'!K19,'Draft Board'!$F$2:$F$622,0),21)</f>
        <v>D</v>
      </c>
      <c r="AF19" s="12">
        <f>INDEX('Draft Board'!$A$2:$AB$622,MATCH('Post-Mortem'!B19,'Draft Board'!$F$2:$F$622,0),22)</f>
        <v>30</v>
      </c>
      <c r="AG19" s="2">
        <f>INDEX('Draft Board'!$A$2:$AB$622,MATCH('Post-Mortem'!C19,'Draft Board'!$F$2:$F$622,0),22)</f>
        <v>154</v>
      </c>
      <c r="AH19" s="2">
        <f>INDEX('Draft Board'!$A$2:$AB$622,MATCH('Post-Mortem'!D19,'Draft Board'!$F$2:$F$622,0),22)</f>
        <v>97</v>
      </c>
      <c r="AI19" s="2">
        <f>INDEX('Draft Board'!$A$2:$AB$622,MATCH('Post-Mortem'!E19,'Draft Board'!$F$2:$F$622,0),22)</f>
        <v>208</v>
      </c>
      <c r="AJ19" s="2">
        <f>INDEX('Draft Board'!$A$2:$AB$622,MATCH('Post-Mortem'!F19,'Draft Board'!$F$2:$F$622,0),22)</f>
        <v>110</v>
      </c>
      <c r="AK19" s="2">
        <f>INDEX('Draft Board'!$A$2:$AB$622,MATCH('Post-Mortem'!G19,'Draft Board'!$F$2:$F$622,0),22)</f>
        <v>128</v>
      </c>
      <c r="AL19" s="2">
        <f>INDEX('Draft Board'!$A$2:$AB$622,MATCH('Post-Mortem'!H19,'Draft Board'!$F$2:$F$622,0),22)</f>
        <v>157</v>
      </c>
      <c r="AM19" s="2">
        <f>INDEX('Draft Board'!$A$2:$AB$622,MATCH('Post-Mortem'!I19,'Draft Board'!$F$2:$F$622,0),22)</f>
        <v>200</v>
      </c>
      <c r="AN19" s="2">
        <f>INDEX('Draft Board'!$A$2:$AB$622,MATCH('Post-Mortem'!J19,'Draft Board'!$F$2:$F$622,0),22)</f>
        <v>0</v>
      </c>
      <c r="AO19" s="13">
        <f>INDEX('Draft Board'!$A$2:$AB$622,MATCH('Post-Mortem'!K19,'Draft Board'!$F$2:$F$622,0),22)</f>
        <v>258</v>
      </c>
      <c r="AP19" s="12">
        <f t="shared" si="9"/>
        <v>131</v>
      </c>
      <c r="AQ19" s="2">
        <f t="shared" si="0"/>
        <v>8</v>
      </c>
      <c r="AR19" s="2">
        <f t="shared" si="1"/>
        <v>66</v>
      </c>
      <c r="AS19" s="2">
        <f t="shared" si="2"/>
        <v>-44</v>
      </c>
      <c r="AT19" s="2">
        <f t="shared" si="3"/>
        <v>55</v>
      </c>
      <c r="AU19" s="2">
        <f t="shared" si="4"/>
        <v>38</v>
      </c>
      <c r="AV19" s="2">
        <f t="shared" si="5"/>
        <v>10</v>
      </c>
      <c r="AW19" s="2">
        <f t="shared" si="6"/>
        <v>-32</v>
      </c>
      <c r="AX19" s="2">
        <f t="shared" si="7"/>
        <v>169</v>
      </c>
      <c r="AY19" s="13">
        <f t="shared" si="8"/>
        <v>-88</v>
      </c>
    </row>
    <row r="20" spans="1:51" x14ac:dyDescent="0.2">
      <c r="A20" s="2">
        <f t="shared" si="10"/>
        <v>18</v>
      </c>
      <c r="B20" s="12">
        <f t="shared" ref="B20:K20" si="26">B18+20</f>
        <v>180</v>
      </c>
      <c r="C20" s="2">
        <f t="shared" si="26"/>
        <v>179</v>
      </c>
      <c r="D20" s="2">
        <f t="shared" si="26"/>
        <v>178</v>
      </c>
      <c r="E20" s="2">
        <f t="shared" si="26"/>
        <v>177</v>
      </c>
      <c r="F20" s="2">
        <f t="shared" si="26"/>
        <v>176</v>
      </c>
      <c r="G20" s="2">
        <f t="shared" si="26"/>
        <v>175</v>
      </c>
      <c r="H20" s="2">
        <f t="shared" si="26"/>
        <v>174</v>
      </c>
      <c r="I20" s="2">
        <f t="shared" si="26"/>
        <v>173</v>
      </c>
      <c r="J20" s="2">
        <f t="shared" si="26"/>
        <v>172</v>
      </c>
      <c r="K20" s="13">
        <f t="shared" si="26"/>
        <v>171</v>
      </c>
      <c r="L20" s="12" t="str">
        <f>INDEX('Draft Board'!$A$2:$AB$622,MATCH('Post-Mortem'!B20,'Draft Board'!$F$2:$F$622,0),3)</f>
        <v>Pedro Rocha</v>
      </c>
      <c r="M20" s="12" t="str">
        <f>INDEX('Draft Board'!$A$2:$AB$622,MATCH('Post-Mortem'!C20,'Draft Board'!$F$2:$F$622,0),3)</f>
        <v>Yuri Lara</v>
      </c>
      <c r="N20" s="12" t="str">
        <f>INDEX('Draft Board'!$A$2:$AB$622,MATCH('Post-Mortem'!D20,'Draft Board'!$F$2:$F$622,0),3)</f>
        <v>Lucas Ramon</v>
      </c>
      <c r="O20" s="12" t="str">
        <f>INDEX('Draft Board'!$A$2:$AB$622,MATCH('Post-Mortem'!E20,'Draft Board'!$F$2:$F$622,0),3)</f>
        <v>Edenílson</v>
      </c>
      <c r="P20" s="12" t="str">
        <f>INDEX('Draft Board'!$A$2:$AB$622,MATCH('Post-Mortem'!F20,'Draft Board'!$F$2:$F$622,0),3)</f>
        <v>Wanderson</v>
      </c>
      <c r="Q20" s="12" t="str">
        <f>INDEX('Draft Board'!$A$2:$AB$622,MATCH('Post-Mortem'!G20,'Draft Board'!$F$2:$F$622,0),3)</f>
        <v>João Pedro</v>
      </c>
      <c r="R20" s="12" t="str">
        <f>INDEX('Draft Board'!$A$2:$AB$622,MATCH('Post-Mortem'!H20,'Draft Board'!$F$2:$F$622,0),3)</f>
        <v>Tapia</v>
      </c>
      <c r="S20" s="12" t="str">
        <f>INDEX('Draft Board'!$A$2:$AB$622,MATCH('Post-Mortem'!I20,'Draft Board'!$F$2:$F$622,0),3)</f>
        <v>Ronaldo</v>
      </c>
      <c r="T20" s="12" t="str">
        <f>INDEX('Draft Board'!$A$2:$AB$622,MATCH('Post-Mortem'!J20,'Draft Board'!$F$2:$F$622,0),3)</f>
        <v>Caio Alexandre</v>
      </c>
      <c r="U20" s="22" t="str">
        <f>INDEX('Draft Board'!$A$2:$AB$622,MATCH('Post-Mortem'!K20,'Draft Board'!$F$2:$F$622,0),3)</f>
        <v>Jonathan Jesus</v>
      </c>
      <c r="V20" s="12" t="str">
        <f>INDEX('Draft Board'!$A$2:$AB$622,MATCH('Post-Mortem'!B20,'Draft Board'!$F$2:$F$622,0),21)</f>
        <v>B</v>
      </c>
      <c r="W20" s="12" t="str">
        <f>INDEX('Draft Board'!$A$2:$AB$622,MATCH('Post-Mortem'!C20,'Draft Board'!$F$2:$F$622,0),21)</f>
        <v>C-</v>
      </c>
      <c r="X20" s="12">
        <f>INDEX('Draft Board'!$A$2:$AB$622,MATCH('Post-Mortem'!D20,'Draft Board'!$F$2:$F$622,0),21)</f>
        <v>0</v>
      </c>
      <c r="Y20" s="12" t="str">
        <f>INDEX('Draft Board'!$A$2:$AB$622,MATCH('Post-Mortem'!E20,'Draft Board'!$F$2:$F$622,0),21)</f>
        <v>D+</v>
      </c>
      <c r="Z20" s="12" t="str">
        <f>INDEX('Draft Board'!$A$2:$AB$622,MATCH('Post-Mortem'!F20,'Draft Board'!$F$2:$F$622,0),21)</f>
        <v>D</v>
      </c>
      <c r="AA20" s="12" t="str">
        <f>INDEX('Draft Board'!$A$2:$AB$622,MATCH('Post-Mortem'!G20,'Draft Board'!$F$2:$F$622,0),21)</f>
        <v>C</v>
      </c>
      <c r="AB20" s="12">
        <f>INDEX('Draft Board'!$A$2:$AB$622,MATCH('Post-Mortem'!H20,'Draft Board'!$F$2:$F$622,0),21)</f>
        <v>0</v>
      </c>
      <c r="AC20" s="12" t="str">
        <f>INDEX('Draft Board'!$A$2:$AB$622,MATCH('Post-Mortem'!I20,'Draft Board'!$F$2:$F$622,0),21)</f>
        <v>B</v>
      </c>
      <c r="AD20" s="12" t="str">
        <f>INDEX('Draft Board'!$A$2:$AB$622,MATCH('Post-Mortem'!J20,'Draft Board'!$F$2:$F$622,0),21)</f>
        <v>D+</v>
      </c>
      <c r="AE20" s="22" t="str">
        <f>INDEX('Draft Board'!$A$2:$AB$622,MATCH('Post-Mortem'!K20,'Draft Board'!$F$2:$F$622,0),21)</f>
        <v>D-</v>
      </c>
      <c r="AF20" s="12">
        <f>INDEX('Draft Board'!$A$2:$AB$622,MATCH('Post-Mortem'!B20,'Draft Board'!$F$2:$F$622,0),22)</f>
        <v>89</v>
      </c>
      <c r="AG20" s="2">
        <f>INDEX('Draft Board'!$A$2:$AB$622,MATCH('Post-Mortem'!C20,'Draft Board'!$F$2:$F$622,0),22)</f>
        <v>215</v>
      </c>
      <c r="AH20" s="2">
        <f>INDEX('Draft Board'!$A$2:$AB$622,MATCH('Post-Mortem'!D20,'Draft Board'!$F$2:$F$622,0),22)</f>
        <v>0</v>
      </c>
      <c r="AI20" s="2">
        <f>INDEX('Draft Board'!$A$2:$AB$622,MATCH('Post-Mortem'!E20,'Draft Board'!$F$2:$F$622,0),22)</f>
        <v>238</v>
      </c>
      <c r="AJ20" s="2">
        <f>INDEX('Draft Board'!$A$2:$AB$622,MATCH('Post-Mortem'!F20,'Draft Board'!$F$2:$F$622,0),22)</f>
        <v>273</v>
      </c>
      <c r="AK20" s="2">
        <f>INDEX('Draft Board'!$A$2:$AB$622,MATCH('Post-Mortem'!G20,'Draft Board'!$F$2:$F$622,0),22)</f>
        <v>156</v>
      </c>
      <c r="AL20" s="2">
        <f>INDEX('Draft Board'!$A$2:$AB$622,MATCH('Post-Mortem'!H20,'Draft Board'!$F$2:$F$622,0),22)</f>
        <v>0</v>
      </c>
      <c r="AM20" s="2">
        <f>INDEX('Draft Board'!$A$2:$AB$622,MATCH('Post-Mortem'!I20,'Draft Board'!$F$2:$F$622,0),22)</f>
        <v>88</v>
      </c>
      <c r="AN20" s="2">
        <f>INDEX('Draft Board'!$A$2:$AB$622,MATCH('Post-Mortem'!J20,'Draft Board'!$F$2:$F$622,0),22)</f>
        <v>249</v>
      </c>
      <c r="AO20" s="13">
        <f>INDEX('Draft Board'!$A$2:$AB$622,MATCH('Post-Mortem'!K20,'Draft Board'!$F$2:$F$622,0),22)</f>
        <v>290</v>
      </c>
      <c r="AP20" s="12">
        <f t="shared" si="9"/>
        <v>91</v>
      </c>
      <c r="AQ20" s="2">
        <f t="shared" si="0"/>
        <v>-36</v>
      </c>
      <c r="AR20" s="2">
        <f t="shared" si="1"/>
        <v>178</v>
      </c>
      <c r="AS20" s="2">
        <f t="shared" si="2"/>
        <v>-61</v>
      </c>
      <c r="AT20" s="2">
        <f t="shared" si="3"/>
        <v>-97</v>
      </c>
      <c r="AU20" s="2">
        <f t="shared" si="4"/>
        <v>19</v>
      </c>
      <c r="AV20" s="2">
        <f t="shared" si="5"/>
        <v>174</v>
      </c>
      <c r="AW20" s="2">
        <f t="shared" si="6"/>
        <v>85</v>
      </c>
      <c r="AX20" s="2">
        <f t="shared" si="7"/>
        <v>-77</v>
      </c>
      <c r="AY20" s="13">
        <f t="shared" si="8"/>
        <v>-119</v>
      </c>
    </row>
    <row r="21" spans="1:51" x14ac:dyDescent="0.2">
      <c r="A21" s="2">
        <f t="shared" si="10"/>
        <v>19</v>
      </c>
      <c r="B21" s="12">
        <f t="shared" ref="B21:K21" si="27">B19+20</f>
        <v>181</v>
      </c>
      <c r="C21" s="2">
        <f t="shared" si="27"/>
        <v>182</v>
      </c>
      <c r="D21" s="2">
        <f t="shared" si="27"/>
        <v>183</v>
      </c>
      <c r="E21" s="2">
        <f t="shared" si="27"/>
        <v>184</v>
      </c>
      <c r="F21" s="2">
        <f t="shared" si="27"/>
        <v>185</v>
      </c>
      <c r="G21" s="2">
        <f t="shared" si="27"/>
        <v>186</v>
      </c>
      <c r="H21" s="2">
        <f t="shared" si="27"/>
        <v>187</v>
      </c>
      <c r="I21" s="2">
        <f t="shared" si="27"/>
        <v>188</v>
      </c>
      <c r="J21" s="2">
        <f t="shared" si="27"/>
        <v>189</v>
      </c>
      <c r="K21" s="13">
        <f t="shared" si="27"/>
        <v>190</v>
      </c>
      <c r="L21" s="12" t="str">
        <f>INDEX('Draft Board'!$A$2:$AB$622,MATCH('Post-Mortem'!B21,'Draft Board'!$F$2:$F$622,0),3)</f>
        <v>Felipinho</v>
      </c>
      <c r="M21" s="12" t="str">
        <f>INDEX('Draft Board'!$A$2:$AB$622,MATCH('Post-Mortem'!C21,'Draft Board'!$F$2:$F$622,0),3)</f>
        <v>Pedro Morisco</v>
      </c>
      <c r="N21" s="12" t="str">
        <f>INDEX('Draft Board'!$A$2:$AB$622,MATCH('Post-Mortem'!D21,'Draft Board'!$F$2:$F$622,0),3)</f>
        <v>Willian</v>
      </c>
      <c r="O21" s="12" t="str">
        <f>INDEX('Draft Board'!$A$2:$AB$622,MATCH('Post-Mortem'!E21,'Draft Board'!$F$2:$F$622,0),3)</f>
        <v>Rodrigo Nestor</v>
      </c>
      <c r="P21" s="12" t="str">
        <f>INDEX('Draft Board'!$A$2:$AB$622,MATCH('Post-Mortem'!F21,'Draft Board'!$F$2:$F$622,0),3)</f>
        <v>Cantalapiedra</v>
      </c>
      <c r="Q21" s="12" t="str">
        <f>INDEX('Draft Board'!$A$2:$AB$622,MATCH('Post-Mortem'!G21,'Draft Board'!$F$2:$F$622,0),3)</f>
        <v>Ferraresi</v>
      </c>
      <c r="R21" s="12" t="str">
        <f>INDEX('Draft Board'!$A$2:$AB$622,MATCH('Post-Mortem'!H21,'Draft Board'!$F$2:$F$622,0),3)</f>
        <v>Mateusinho</v>
      </c>
      <c r="S21" s="12" t="str">
        <f>INDEX('Draft Board'!$A$2:$AB$622,MATCH('Post-Mortem'!I21,'Draft Board'!$F$2:$F$622,0),3)</f>
        <v>Gustavinho</v>
      </c>
      <c r="T21" s="12" t="str">
        <f>INDEX('Draft Board'!$A$2:$AB$622,MATCH('Post-Mortem'!J21,'Draft Board'!$F$2:$F$622,0),3)</f>
        <v>Cauly</v>
      </c>
      <c r="U21" s="22" t="str">
        <f>INDEX('Draft Board'!$A$2:$AB$622,MATCH('Post-Mortem'!K21,'Draft Board'!$F$2:$F$622,0),3)</f>
        <v>Bruno Tabata</v>
      </c>
      <c r="V21" s="12" t="str">
        <f>INDEX('Draft Board'!$A$2:$AB$622,MATCH('Post-Mortem'!B21,'Draft Board'!$F$2:$F$622,0),21)</f>
        <v>C+</v>
      </c>
      <c r="W21" s="12" t="str">
        <f>INDEX('Draft Board'!$A$2:$AB$622,MATCH('Post-Mortem'!C21,'Draft Board'!$F$2:$F$622,0),21)</f>
        <v>A-</v>
      </c>
      <c r="X21" s="12" t="str">
        <f>INDEX('Draft Board'!$A$2:$AB$622,MATCH('Post-Mortem'!D21,'Draft Board'!$F$2:$F$622,0),21)</f>
        <v>B-</v>
      </c>
      <c r="Y21" s="12">
        <f>INDEX('Draft Board'!$A$2:$AB$622,MATCH('Post-Mortem'!E21,'Draft Board'!$F$2:$F$622,0),21)</f>
        <v>0</v>
      </c>
      <c r="Z21" s="12" t="str">
        <f>INDEX('Draft Board'!$A$2:$AB$622,MATCH('Post-Mortem'!F21,'Draft Board'!$F$2:$F$622,0),21)</f>
        <v>A-</v>
      </c>
      <c r="AA21" s="12" t="str">
        <f>INDEX('Draft Board'!$A$2:$AB$622,MATCH('Post-Mortem'!G21,'Draft Board'!$F$2:$F$622,0),21)</f>
        <v>A</v>
      </c>
      <c r="AB21" s="12" t="str">
        <f>INDEX('Draft Board'!$A$2:$AB$622,MATCH('Post-Mortem'!H21,'Draft Board'!$F$2:$F$622,0),21)</f>
        <v>B</v>
      </c>
      <c r="AC21" s="12" t="str">
        <f>INDEX('Draft Board'!$A$2:$AB$622,MATCH('Post-Mortem'!I21,'Draft Board'!$F$2:$F$622,0),21)</f>
        <v>D</v>
      </c>
      <c r="AD21" s="12">
        <f>INDEX('Draft Board'!$A$2:$AB$622,MATCH('Post-Mortem'!J21,'Draft Board'!$F$2:$F$622,0),21)</f>
        <v>0</v>
      </c>
      <c r="AE21" s="22" t="str">
        <f>INDEX('Draft Board'!$A$2:$AB$622,MATCH('Post-Mortem'!K21,'Draft Board'!$F$2:$F$622,0),21)</f>
        <v>C+</v>
      </c>
      <c r="AF21" s="12">
        <f>INDEX('Draft Board'!$A$2:$AB$622,MATCH('Post-Mortem'!B21,'Draft Board'!$F$2:$F$622,0),22)</f>
        <v>143</v>
      </c>
      <c r="AG21" s="2">
        <f>INDEX('Draft Board'!$A$2:$AB$622,MATCH('Post-Mortem'!C21,'Draft Board'!$F$2:$F$622,0),22)</f>
        <v>55</v>
      </c>
      <c r="AH21" s="2">
        <f>INDEX('Draft Board'!$A$2:$AB$622,MATCH('Post-Mortem'!D21,'Draft Board'!$F$2:$F$622,0),22)</f>
        <v>106</v>
      </c>
      <c r="AI21" s="2">
        <f>INDEX('Draft Board'!$A$2:$AB$622,MATCH('Post-Mortem'!E21,'Draft Board'!$F$2:$F$622,0),22)</f>
        <v>0</v>
      </c>
      <c r="AJ21" s="2">
        <f>INDEX('Draft Board'!$A$2:$AB$622,MATCH('Post-Mortem'!F21,'Draft Board'!$F$2:$F$622,0),22)</f>
        <v>56</v>
      </c>
      <c r="AK21" s="2">
        <f>INDEX('Draft Board'!$A$2:$AB$622,MATCH('Post-Mortem'!G21,'Draft Board'!$F$2:$F$622,0),22)</f>
        <v>40</v>
      </c>
      <c r="AL21" s="2">
        <f>INDEX('Draft Board'!$A$2:$AB$622,MATCH('Post-Mortem'!H21,'Draft Board'!$F$2:$F$622,0),22)</f>
        <v>103</v>
      </c>
      <c r="AM21" s="2">
        <f>INDEX('Draft Board'!$A$2:$AB$622,MATCH('Post-Mortem'!I21,'Draft Board'!$F$2:$F$622,0),22)</f>
        <v>285</v>
      </c>
      <c r="AN21" s="2">
        <f>INDEX('Draft Board'!$A$2:$AB$622,MATCH('Post-Mortem'!J21,'Draft Board'!$F$2:$F$622,0),22)</f>
        <v>0</v>
      </c>
      <c r="AO21" s="13">
        <f>INDEX('Draft Board'!$A$2:$AB$622,MATCH('Post-Mortem'!K21,'Draft Board'!$F$2:$F$622,0),22)</f>
        <v>141</v>
      </c>
      <c r="AP21" s="12">
        <f t="shared" si="9"/>
        <v>38</v>
      </c>
      <c r="AQ21" s="2">
        <f t="shared" si="0"/>
        <v>127</v>
      </c>
      <c r="AR21" s="2">
        <f t="shared" si="1"/>
        <v>77</v>
      </c>
      <c r="AS21" s="2">
        <f t="shared" si="2"/>
        <v>184</v>
      </c>
      <c r="AT21" s="2">
        <f t="shared" si="3"/>
        <v>129</v>
      </c>
      <c r="AU21" s="2">
        <f t="shared" si="4"/>
        <v>146</v>
      </c>
      <c r="AV21" s="2">
        <f t="shared" si="5"/>
        <v>84</v>
      </c>
      <c r="AW21" s="2">
        <f t="shared" si="6"/>
        <v>-97</v>
      </c>
      <c r="AX21" s="2">
        <f t="shared" si="7"/>
        <v>189</v>
      </c>
      <c r="AY21" s="13">
        <f t="shared" si="8"/>
        <v>49</v>
      </c>
    </row>
    <row r="22" spans="1:51" x14ac:dyDescent="0.2">
      <c r="A22" s="2">
        <f t="shared" si="10"/>
        <v>20</v>
      </c>
      <c r="B22" s="12">
        <f t="shared" ref="B22:K22" si="28">B20+20</f>
        <v>200</v>
      </c>
      <c r="C22" s="2">
        <f t="shared" si="28"/>
        <v>199</v>
      </c>
      <c r="D22" s="2">
        <f t="shared" si="28"/>
        <v>198</v>
      </c>
      <c r="E22" s="2">
        <f t="shared" si="28"/>
        <v>197</v>
      </c>
      <c r="F22" s="2">
        <f t="shared" si="28"/>
        <v>196</v>
      </c>
      <c r="G22" s="2">
        <f t="shared" si="28"/>
        <v>195</v>
      </c>
      <c r="H22" s="2">
        <f t="shared" si="28"/>
        <v>194</v>
      </c>
      <c r="I22" s="2">
        <f t="shared" si="28"/>
        <v>193</v>
      </c>
      <c r="J22" s="2">
        <f t="shared" si="28"/>
        <v>192</v>
      </c>
      <c r="K22" s="13">
        <f t="shared" si="28"/>
        <v>191</v>
      </c>
      <c r="L22" s="12" t="str">
        <f>INDEX('Draft Board'!$A$2:$AB$622,MATCH('Post-Mortem'!B22,'Draft Board'!$F$2:$F$622,0),3)</f>
        <v>Terán</v>
      </c>
      <c r="M22" s="12" t="str">
        <f>INDEX('Draft Board'!$A$2:$AB$622,MATCH('Post-Mortem'!C22,'Draft Board'!$F$2:$F$622,0),3)</f>
        <v>Sabino</v>
      </c>
      <c r="N22" s="12" t="str">
        <f>INDEX('Draft Board'!$A$2:$AB$622,MATCH('Post-Mortem'!D22,'Draft Board'!$F$2:$F$622,0),3)</f>
        <v>Hinestroza</v>
      </c>
      <c r="O22" s="12" t="str">
        <f>INDEX('Draft Board'!$A$2:$AB$622,MATCH('Post-Mortem'!E22,'Draft Board'!$F$2:$F$622,0),3)</f>
        <v>Bastos</v>
      </c>
      <c r="P22" s="12" t="str">
        <f>INDEX('Draft Board'!$A$2:$AB$622,MATCH('Post-Mortem'!F22,'Draft Board'!$F$2:$F$622,0),3)</f>
        <v>Saúl</v>
      </c>
      <c r="Q22" s="12" t="str">
        <f>INDEX('Draft Board'!$A$2:$AB$622,MATCH('Post-Mortem'!G22,'Draft Board'!$F$2:$F$622,0),3)</f>
        <v>Wendell</v>
      </c>
      <c r="R22" s="12" t="str">
        <f>INDEX('Draft Board'!$A$2:$AB$622,MATCH('Post-Mortem'!H22,'Draft Board'!$F$2:$F$622,0),3)</f>
        <v>Lucas Arcanjo</v>
      </c>
      <c r="S22" s="12" t="str">
        <f>INDEX('Draft Board'!$A$2:$AB$622,MATCH('Post-Mortem'!I22,'Draft Board'!$F$2:$F$622,0),3)</f>
        <v>Ramon</v>
      </c>
      <c r="T22" s="12" t="str">
        <f>INDEX('Draft Board'!$A$2:$AB$622,MATCH('Post-Mortem'!J22,'Draft Board'!$F$2:$F$622,0),3)</f>
        <v>Andrew</v>
      </c>
      <c r="U22" s="22" t="str">
        <f>INDEX('Draft Board'!$A$2:$AB$622,MATCH('Post-Mortem'!K22,'Draft Board'!$F$2:$F$622,0),3)</f>
        <v>Eduardo</v>
      </c>
      <c r="V22" s="12" t="str">
        <f>INDEX('Draft Board'!$A$2:$AB$622,MATCH('Post-Mortem'!B22,'Draft Board'!$F$2:$F$622,0),21)</f>
        <v>C+</v>
      </c>
      <c r="W22" s="12" t="str">
        <f>INDEX('Draft Board'!$A$2:$AB$622,MATCH('Post-Mortem'!C22,'Draft Board'!$F$2:$F$622,0),21)</f>
        <v>B-</v>
      </c>
      <c r="X22" s="12" t="str">
        <f>INDEX('Draft Board'!$A$2:$AB$622,MATCH('Post-Mortem'!D22,'Draft Board'!$F$2:$F$622,0),21)</f>
        <v>B</v>
      </c>
      <c r="Y22" s="12">
        <f>INDEX('Draft Board'!$A$2:$AB$622,MATCH('Post-Mortem'!E22,'Draft Board'!$F$2:$F$622,0),21)</f>
        <v>0</v>
      </c>
      <c r="Z22" s="12" t="str">
        <f>INDEX('Draft Board'!$A$2:$AB$622,MATCH('Post-Mortem'!F22,'Draft Board'!$F$2:$F$622,0),21)</f>
        <v>C+</v>
      </c>
      <c r="AA22" s="12" t="str">
        <f>INDEX('Draft Board'!$A$2:$AB$622,MATCH('Post-Mortem'!G22,'Draft Board'!$F$2:$F$622,0),21)</f>
        <v>C-</v>
      </c>
      <c r="AB22" s="12">
        <f>INDEX('Draft Board'!$A$2:$AB$622,MATCH('Post-Mortem'!H22,'Draft Board'!$F$2:$F$622,0),21)</f>
        <v>0</v>
      </c>
      <c r="AC22" s="12" t="str">
        <f>INDEX('Draft Board'!$A$2:$AB$622,MATCH('Post-Mortem'!I22,'Draft Board'!$F$2:$F$622,0),21)</f>
        <v>C</v>
      </c>
      <c r="AD22" s="12">
        <f>INDEX('Draft Board'!$A$2:$AB$622,MATCH('Post-Mortem'!J22,'Draft Board'!$F$2:$F$622,0),21)</f>
        <v>0</v>
      </c>
      <c r="AE22" s="22" t="str">
        <f>INDEX('Draft Board'!$A$2:$AB$622,MATCH('Post-Mortem'!K22,'Draft Board'!$F$2:$F$622,0),21)</f>
        <v>D-</v>
      </c>
      <c r="AF22" s="12">
        <f>INDEX('Draft Board'!$A$2:$AB$622,MATCH('Post-Mortem'!B22,'Draft Board'!$F$2:$F$622,0),22)</f>
        <v>130</v>
      </c>
      <c r="AG22" s="2">
        <f>INDEX('Draft Board'!$A$2:$AB$622,MATCH('Post-Mortem'!C22,'Draft Board'!$F$2:$F$622,0),22)</f>
        <v>111</v>
      </c>
      <c r="AH22" s="2">
        <f>INDEX('Draft Board'!$A$2:$AB$622,MATCH('Post-Mortem'!D22,'Draft Board'!$F$2:$F$622,0),22)</f>
        <v>92</v>
      </c>
      <c r="AI22" s="2">
        <f>INDEX('Draft Board'!$A$2:$AB$622,MATCH('Post-Mortem'!E22,'Draft Board'!$F$2:$F$622,0),22)</f>
        <v>0</v>
      </c>
      <c r="AJ22" s="2">
        <f>INDEX('Draft Board'!$A$2:$AB$622,MATCH('Post-Mortem'!F22,'Draft Board'!$F$2:$F$622,0),22)</f>
        <v>133</v>
      </c>
      <c r="AK22" s="2">
        <f>INDEX('Draft Board'!$A$2:$AB$622,MATCH('Post-Mortem'!G22,'Draft Board'!$F$2:$F$622,0),22)</f>
        <v>190</v>
      </c>
      <c r="AL22" s="2">
        <f>INDEX('Draft Board'!$A$2:$AB$622,MATCH('Post-Mortem'!H22,'Draft Board'!$F$2:$F$622,0),22)</f>
        <v>0</v>
      </c>
      <c r="AM22" s="2">
        <f>INDEX('Draft Board'!$A$2:$AB$622,MATCH('Post-Mortem'!I22,'Draft Board'!$F$2:$F$622,0),22)</f>
        <v>153</v>
      </c>
      <c r="AN22" s="2">
        <f>INDEX('Draft Board'!$A$2:$AB$622,MATCH('Post-Mortem'!J22,'Draft Board'!$F$2:$F$622,0),22)</f>
        <v>0</v>
      </c>
      <c r="AO22" s="13">
        <f>INDEX('Draft Board'!$A$2:$AB$622,MATCH('Post-Mortem'!K22,'Draft Board'!$F$2:$F$622,0),22)</f>
        <v>298</v>
      </c>
      <c r="AP22" s="12">
        <f t="shared" si="9"/>
        <v>70</v>
      </c>
      <c r="AQ22" s="2">
        <f t="shared" si="0"/>
        <v>88</v>
      </c>
      <c r="AR22" s="2">
        <f t="shared" si="1"/>
        <v>106</v>
      </c>
      <c r="AS22" s="2">
        <f t="shared" si="2"/>
        <v>197</v>
      </c>
      <c r="AT22" s="2">
        <f t="shared" si="3"/>
        <v>63</v>
      </c>
      <c r="AU22" s="2">
        <f t="shared" si="4"/>
        <v>5</v>
      </c>
      <c r="AV22" s="2">
        <f t="shared" si="5"/>
        <v>194</v>
      </c>
      <c r="AW22" s="2">
        <f t="shared" si="6"/>
        <v>40</v>
      </c>
      <c r="AX22" s="2">
        <f t="shared" si="7"/>
        <v>192</v>
      </c>
      <c r="AY22" s="13">
        <f t="shared" si="8"/>
        <v>-107</v>
      </c>
    </row>
    <row r="23" spans="1:51" x14ac:dyDescent="0.2">
      <c r="A23" s="2">
        <f t="shared" si="10"/>
        <v>21</v>
      </c>
      <c r="B23" s="12">
        <f t="shared" ref="B23:K23" si="29">B21+20</f>
        <v>201</v>
      </c>
      <c r="C23" s="2">
        <f t="shared" si="29"/>
        <v>202</v>
      </c>
      <c r="D23" s="2">
        <f t="shared" si="29"/>
        <v>203</v>
      </c>
      <c r="E23" s="2">
        <f t="shared" si="29"/>
        <v>204</v>
      </c>
      <c r="F23" s="2">
        <f t="shared" si="29"/>
        <v>205</v>
      </c>
      <c r="G23" s="2">
        <f t="shared" si="29"/>
        <v>206</v>
      </c>
      <c r="H23" s="2">
        <f t="shared" si="29"/>
        <v>207</v>
      </c>
      <c r="I23" s="2">
        <f t="shared" si="29"/>
        <v>208</v>
      </c>
      <c r="J23" s="2">
        <f t="shared" si="29"/>
        <v>209</v>
      </c>
      <c r="K23" s="13">
        <f t="shared" si="29"/>
        <v>210</v>
      </c>
      <c r="L23" s="12" t="str">
        <f>INDEX('Draft Board'!$A$2:$AB$622,MATCH('Post-Mortem'!B23,'Draft Board'!$F$2:$F$622,0),3)</f>
        <v>Adonis Frías</v>
      </c>
      <c r="M23" s="12" t="str">
        <f>INDEX('Draft Board'!$A$2:$AB$622,MATCH('Post-Mortem'!C23,'Draft Board'!$F$2:$F$622,0),3)</f>
        <v>David Duarte</v>
      </c>
      <c r="N23" s="12" t="str">
        <f>INDEX('Draft Board'!$A$2:$AB$622,MATCH('Post-Mortem'!D23,'Draft Board'!$F$2:$F$622,0),3)</f>
        <v>Gabriel Xavier</v>
      </c>
      <c r="O23" s="12" t="str">
        <f>INDEX('Draft Board'!$A$2:$AB$622,MATCH('Post-Mortem'!E23,'Draft Board'!$F$2:$F$622,0),3)</f>
        <v>Ruan</v>
      </c>
      <c r="P23" s="12" t="str">
        <f>INDEX('Draft Board'!$A$2:$AB$622,MATCH('Post-Mortem'!F23,'Draft Board'!$F$2:$F$622,0),3)</f>
        <v>Fagner</v>
      </c>
      <c r="Q23" s="12" t="str">
        <f>INDEX('Draft Board'!$A$2:$AB$622,MATCH('Post-Mortem'!G23,'Draft Board'!$F$2:$F$622,0),3)</f>
        <v>Alef Manga</v>
      </c>
      <c r="R23" s="12" t="str">
        <f>INDEX('Draft Board'!$A$2:$AB$622,MATCH('Post-Mortem'!H23,'Draft Board'!$F$2:$F$622,0),3)</f>
        <v>Hércules</v>
      </c>
      <c r="S23" s="12" t="str">
        <f>INDEX('Draft Board'!$A$2:$AB$622,MATCH('Post-Mortem'!I23,'Draft Board'!$F$2:$F$622,0),3)</f>
        <v>Robert Renan</v>
      </c>
      <c r="T23" s="12" t="str">
        <f>INDEX('Draft Board'!$A$2:$AB$622,MATCH('Post-Mortem'!J23,'Draft Board'!$F$2:$F$622,0),3)</f>
        <v>Arroyo</v>
      </c>
      <c r="U23" s="22" t="str">
        <f>INDEX('Draft Board'!$A$2:$AB$622,MATCH('Post-Mortem'!K23,'Draft Board'!$F$2:$F$622,0),3)</f>
        <v>Alan Franco</v>
      </c>
      <c r="V23" s="12" t="str">
        <f>INDEX('Draft Board'!$A$2:$AB$622,MATCH('Post-Mortem'!B23,'Draft Board'!$F$2:$F$622,0),21)</f>
        <v>C+</v>
      </c>
      <c r="W23" s="12" t="str">
        <f>INDEX('Draft Board'!$A$2:$AB$622,MATCH('Post-Mortem'!C23,'Draft Board'!$F$2:$F$622,0),21)</f>
        <v>C-</v>
      </c>
      <c r="X23" s="12">
        <f>INDEX('Draft Board'!$A$2:$AB$622,MATCH('Post-Mortem'!D23,'Draft Board'!$F$2:$F$622,0),21)</f>
        <v>0</v>
      </c>
      <c r="Y23" s="12" t="str">
        <f>INDEX('Draft Board'!$A$2:$AB$622,MATCH('Post-Mortem'!E23,'Draft Board'!$F$2:$F$622,0),21)</f>
        <v>C</v>
      </c>
      <c r="Z23" s="12" t="str">
        <f>INDEX('Draft Board'!$A$2:$AB$622,MATCH('Post-Mortem'!F23,'Draft Board'!$F$2:$F$622,0),21)</f>
        <v>B</v>
      </c>
      <c r="AA23" s="12" t="str">
        <f>INDEX('Draft Board'!$A$2:$AB$622,MATCH('Post-Mortem'!G23,'Draft Board'!$F$2:$F$622,0),21)</f>
        <v>C</v>
      </c>
      <c r="AB23" s="12" t="str">
        <f>INDEX('Draft Board'!$A$2:$AB$622,MATCH('Post-Mortem'!H23,'Draft Board'!$F$2:$F$622,0),21)</f>
        <v>C</v>
      </c>
      <c r="AC23" s="12" t="str">
        <f>INDEX('Draft Board'!$A$2:$AB$622,MATCH('Post-Mortem'!I23,'Draft Board'!$F$2:$F$622,0),21)</f>
        <v>D-</v>
      </c>
      <c r="AD23" s="12" t="str">
        <f>INDEX('Draft Board'!$A$2:$AB$622,MATCH('Post-Mortem'!J23,'Draft Board'!$F$2:$F$622,0),21)</f>
        <v>B+</v>
      </c>
      <c r="AE23" s="22" t="str">
        <f>INDEX('Draft Board'!$A$2:$AB$622,MATCH('Post-Mortem'!K23,'Draft Board'!$F$2:$F$622,0),21)</f>
        <v>D</v>
      </c>
      <c r="AF23" s="12">
        <f>INDEX('Draft Board'!$A$2:$AB$622,MATCH('Post-Mortem'!B23,'Draft Board'!$F$2:$F$622,0),22)</f>
        <v>123</v>
      </c>
      <c r="AG23" s="2">
        <f>INDEX('Draft Board'!$A$2:$AB$622,MATCH('Post-Mortem'!C23,'Draft Board'!$F$2:$F$622,0),22)</f>
        <v>203</v>
      </c>
      <c r="AH23" s="2">
        <f>INDEX('Draft Board'!$A$2:$AB$622,MATCH('Post-Mortem'!D23,'Draft Board'!$F$2:$F$622,0),22)</f>
        <v>0</v>
      </c>
      <c r="AI23" s="2">
        <f>INDEX('Draft Board'!$A$2:$AB$622,MATCH('Post-Mortem'!E23,'Draft Board'!$F$2:$F$622,0),22)</f>
        <v>164</v>
      </c>
      <c r="AJ23" s="2">
        <f>INDEX('Draft Board'!$A$2:$AB$622,MATCH('Post-Mortem'!F23,'Draft Board'!$F$2:$F$622,0),22)</f>
        <v>95</v>
      </c>
      <c r="AK23" s="2">
        <f>INDEX('Draft Board'!$A$2:$AB$622,MATCH('Post-Mortem'!G23,'Draft Board'!$F$2:$F$622,0),22)</f>
        <v>167</v>
      </c>
      <c r="AL23" s="2">
        <f>INDEX('Draft Board'!$A$2:$AB$622,MATCH('Post-Mortem'!H23,'Draft Board'!$F$2:$F$622,0),22)</f>
        <v>181</v>
      </c>
      <c r="AM23" s="2">
        <f>INDEX('Draft Board'!$A$2:$AB$622,MATCH('Post-Mortem'!I23,'Draft Board'!$F$2:$F$622,0),22)</f>
        <v>289</v>
      </c>
      <c r="AN23" s="2">
        <f>INDEX('Draft Board'!$A$2:$AB$622,MATCH('Post-Mortem'!J23,'Draft Board'!$F$2:$F$622,0),22)</f>
        <v>74</v>
      </c>
      <c r="AO23" s="13">
        <f>INDEX('Draft Board'!$A$2:$AB$622,MATCH('Post-Mortem'!K23,'Draft Board'!$F$2:$F$622,0),22)</f>
        <v>262</v>
      </c>
      <c r="AP23" s="12">
        <f t="shared" si="9"/>
        <v>78</v>
      </c>
      <c r="AQ23" s="2">
        <f t="shared" si="0"/>
        <v>-1</v>
      </c>
      <c r="AR23" s="2">
        <f t="shared" si="1"/>
        <v>203</v>
      </c>
      <c r="AS23" s="2">
        <f t="shared" si="2"/>
        <v>40</v>
      </c>
      <c r="AT23" s="2">
        <f t="shared" si="3"/>
        <v>110</v>
      </c>
      <c r="AU23" s="2">
        <f t="shared" si="4"/>
        <v>39</v>
      </c>
      <c r="AV23" s="2">
        <f t="shared" si="5"/>
        <v>26</v>
      </c>
      <c r="AW23" s="2">
        <f t="shared" si="6"/>
        <v>-81</v>
      </c>
      <c r="AX23" s="2">
        <f t="shared" si="7"/>
        <v>135</v>
      </c>
      <c r="AY23" s="13">
        <f t="shared" si="8"/>
        <v>-52</v>
      </c>
    </row>
    <row r="24" spans="1:51" x14ac:dyDescent="0.2">
      <c r="A24" s="2">
        <f t="shared" si="10"/>
        <v>22</v>
      </c>
      <c r="B24" s="12">
        <f t="shared" ref="B24:K24" si="30">B22+20</f>
        <v>220</v>
      </c>
      <c r="C24" s="2">
        <f t="shared" si="30"/>
        <v>219</v>
      </c>
      <c r="D24" s="2">
        <f t="shared" si="30"/>
        <v>218</v>
      </c>
      <c r="E24" s="2">
        <f t="shared" si="30"/>
        <v>217</v>
      </c>
      <c r="F24" s="2">
        <f t="shared" si="30"/>
        <v>216</v>
      </c>
      <c r="G24" s="2">
        <f t="shared" si="30"/>
        <v>215</v>
      </c>
      <c r="H24" s="2">
        <f t="shared" si="30"/>
        <v>214</v>
      </c>
      <c r="I24" s="2">
        <f t="shared" si="30"/>
        <v>213</v>
      </c>
      <c r="J24" s="2">
        <f t="shared" si="30"/>
        <v>212</v>
      </c>
      <c r="K24" s="13">
        <f t="shared" si="30"/>
        <v>211</v>
      </c>
      <c r="L24" s="12" t="str">
        <f>INDEX('Draft Board'!$A$2:$AB$622,MATCH('Post-Mortem'!B24,'Draft Board'!$F$2:$F$622,0),3)</f>
        <v>Zé Rafael</v>
      </c>
      <c r="M24" s="12" t="str">
        <f>INDEX('Draft Board'!$A$2:$AB$622,MATCH('Post-Mortem'!C24,'Draft Board'!$F$2:$F$622,0),3)</f>
        <v>Barros</v>
      </c>
      <c r="N24" s="12" t="str">
        <f>INDEX('Draft Board'!$A$2:$AB$622,MATCH('Post-Mortem'!D24,'Draft Board'!$F$2:$F$622,0),3)</f>
        <v>Zé Marcos</v>
      </c>
      <c r="O24" s="12" t="str">
        <f>INDEX('Draft Board'!$A$2:$AB$622,MATCH('Post-Mortem'!E24,'Draft Board'!$F$2:$F$622,0),3)</f>
        <v>Benavídez</v>
      </c>
      <c r="P24" s="12" t="str">
        <f>INDEX('Draft Board'!$A$2:$AB$622,MATCH('Post-Mortem'!F24,'Draft Board'!$F$2:$F$622,0),3)</f>
        <v>Carlos Cuesta</v>
      </c>
      <c r="Q24" s="12" t="str">
        <f>INDEX('Draft Board'!$A$2:$AB$622,MATCH('Post-Mortem'!G24,'Draft Board'!$F$2:$F$622,0),3)</f>
        <v>Zé Ivaldo</v>
      </c>
      <c r="R24" s="12" t="str">
        <f>INDEX('Draft Board'!$A$2:$AB$622,MATCH('Post-Mortem'!H24,'Draft Board'!$F$2:$F$622,0),3)</f>
        <v>Maycon</v>
      </c>
      <c r="S24" s="12" t="str">
        <f>INDEX('Draft Board'!$A$2:$AB$622,MATCH('Post-Mortem'!I24,'Draft Board'!$F$2:$F$622,0),3)</f>
        <v>Yago Pikachu</v>
      </c>
      <c r="T24" s="12" t="str">
        <f>INDEX('Draft Board'!$A$2:$AB$622,MATCH('Post-Mortem'!J24,'Draft Board'!$F$2:$F$622,0),3)</f>
        <v>Alan Franco</v>
      </c>
      <c r="U24" s="22" t="str">
        <f>INDEX('Draft Board'!$A$2:$AB$622,MATCH('Post-Mortem'!K24,'Draft Board'!$F$2:$F$622,0),3)</f>
        <v>Joaquín Correa</v>
      </c>
      <c r="V24" s="12" t="str">
        <f>INDEX('Draft Board'!$A$2:$AB$622,MATCH('Post-Mortem'!B24,'Draft Board'!$F$2:$F$622,0),21)</f>
        <v>B+</v>
      </c>
      <c r="W24" s="12" t="str">
        <f>INDEX('Draft Board'!$A$2:$AB$622,MATCH('Post-Mortem'!C24,'Draft Board'!$F$2:$F$622,0),21)</f>
        <v>C</v>
      </c>
      <c r="X24" s="12" t="str">
        <f>INDEX('Draft Board'!$A$2:$AB$622,MATCH('Post-Mortem'!D24,'Draft Board'!$F$2:$F$622,0),21)</f>
        <v>D</v>
      </c>
      <c r="Y24" s="12" t="str">
        <f>INDEX('Draft Board'!$A$2:$AB$622,MATCH('Post-Mortem'!E24,'Draft Board'!$F$2:$F$622,0),21)</f>
        <v>C</v>
      </c>
      <c r="Z24" s="12" t="str">
        <f>INDEX('Draft Board'!$A$2:$AB$622,MATCH('Post-Mortem'!F24,'Draft Board'!$F$2:$F$622,0),21)</f>
        <v>C-</v>
      </c>
      <c r="AA24" s="12">
        <f>INDEX('Draft Board'!$A$2:$AB$622,MATCH('Post-Mortem'!G24,'Draft Board'!$F$2:$F$622,0),21)</f>
        <v>0</v>
      </c>
      <c r="AB24" s="12" t="str">
        <f>INDEX('Draft Board'!$A$2:$AB$622,MATCH('Post-Mortem'!H24,'Draft Board'!$F$2:$F$622,0),21)</f>
        <v>D+</v>
      </c>
      <c r="AC24" s="12" t="str">
        <f>INDEX('Draft Board'!$A$2:$AB$622,MATCH('Post-Mortem'!I24,'Draft Board'!$F$2:$F$622,0),21)</f>
        <v>C</v>
      </c>
      <c r="AD24" s="12" t="str">
        <f>INDEX('Draft Board'!$A$2:$AB$622,MATCH('Post-Mortem'!J24,'Draft Board'!$F$2:$F$622,0),21)</f>
        <v>D+</v>
      </c>
      <c r="AE24" s="22">
        <f>INDEX('Draft Board'!$A$2:$AB$622,MATCH('Post-Mortem'!K24,'Draft Board'!$F$2:$F$622,0),21)</f>
        <v>0</v>
      </c>
      <c r="AF24" s="12">
        <f>INDEX('Draft Board'!$A$2:$AB$622,MATCH('Post-Mortem'!B24,'Draft Board'!$F$2:$F$622,0),22)</f>
        <v>86</v>
      </c>
      <c r="AG24" s="2">
        <f>INDEX('Draft Board'!$A$2:$AB$622,MATCH('Post-Mortem'!C24,'Draft Board'!$F$2:$F$622,0),22)</f>
        <v>172</v>
      </c>
      <c r="AH24" s="2">
        <f>INDEX('Draft Board'!$A$2:$AB$622,MATCH('Post-Mortem'!D24,'Draft Board'!$F$2:$F$622,0),22)</f>
        <v>261</v>
      </c>
      <c r="AI24" s="2">
        <f>INDEX('Draft Board'!$A$2:$AB$622,MATCH('Post-Mortem'!E24,'Draft Board'!$F$2:$F$622,0),22)</f>
        <v>163</v>
      </c>
      <c r="AJ24" s="2">
        <f>INDEX('Draft Board'!$A$2:$AB$622,MATCH('Post-Mortem'!F24,'Draft Board'!$F$2:$F$622,0),22)</f>
        <v>197</v>
      </c>
      <c r="AK24" s="2">
        <f>INDEX('Draft Board'!$A$2:$AB$622,MATCH('Post-Mortem'!G24,'Draft Board'!$F$2:$F$622,0),22)</f>
        <v>0</v>
      </c>
      <c r="AL24" s="2">
        <f>INDEX('Draft Board'!$A$2:$AB$622,MATCH('Post-Mortem'!H24,'Draft Board'!$F$2:$F$622,0),22)</f>
        <v>243</v>
      </c>
      <c r="AM24" s="2">
        <f>INDEX('Draft Board'!$A$2:$AB$622,MATCH('Post-Mortem'!I24,'Draft Board'!$F$2:$F$622,0),22)</f>
        <v>188</v>
      </c>
      <c r="AN24" s="2">
        <f>INDEX('Draft Board'!$A$2:$AB$622,MATCH('Post-Mortem'!J24,'Draft Board'!$F$2:$F$622,0),22)</f>
        <v>240</v>
      </c>
      <c r="AO24" s="13">
        <f>INDEX('Draft Board'!$A$2:$AB$622,MATCH('Post-Mortem'!K24,'Draft Board'!$F$2:$F$622,0),22)</f>
        <v>0</v>
      </c>
      <c r="AP24" s="12">
        <f t="shared" si="9"/>
        <v>134</v>
      </c>
      <c r="AQ24" s="2">
        <f t="shared" si="0"/>
        <v>47</v>
      </c>
      <c r="AR24" s="2">
        <f t="shared" si="1"/>
        <v>-43</v>
      </c>
      <c r="AS24" s="2">
        <f t="shared" si="2"/>
        <v>54</v>
      </c>
      <c r="AT24" s="2">
        <f t="shared" si="3"/>
        <v>19</v>
      </c>
      <c r="AU24" s="2">
        <f t="shared" si="4"/>
        <v>215</v>
      </c>
      <c r="AV24" s="2">
        <f t="shared" si="5"/>
        <v>-29</v>
      </c>
      <c r="AW24" s="2">
        <f t="shared" si="6"/>
        <v>25</v>
      </c>
      <c r="AX24" s="2">
        <f t="shared" si="7"/>
        <v>-28</v>
      </c>
      <c r="AY24" s="13">
        <f t="shared" si="8"/>
        <v>211</v>
      </c>
    </row>
    <row r="25" spans="1:51" x14ac:dyDescent="0.2">
      <c r="A25" s="2">
        <f t="shared" si="10"/>
        <v>23</v>
      </c>
      <c r="B25" s="14">
        <f t="shared" ref="B25:K25" si="31">B23+20</f>
        <v>221</v>
      </c>
      <c r="C25" s="15">
        <f t="shared" si="31"/>
        <v>222</v>
      </c>
      <c r="D25" s="15">
        <f t="shared" si="31"/>
        <v>223</v>
      </c>
      <c r="E25" s="15">
        <f t="shared" si="31"/>
        <v>224</v>
      </c>
      <c r="F25" s="15">
        <f t="shared" si="31"/>
        <v>225</v>
      </c>
      <c r="G25" s="15">
        <f t="shared" si="31"/>
        <v>226</v>
      </c>
      <c r="H25" s="15">
        <f t="shared" si="31"/>
        <v>227</v>
      </c>
      <c r="I25" s="15">
        <f t="shared" si="31"/>
        <v>228</v>
      </c>
      <c r="J25" s="15">
        <f t="shared" si="31"/>
        <v>229</v>
      </c>
      <c r="K25" s="16">
        <f t="shared" si="31"/>
        <v>230</v>
      </c>
      <c r="L25" s="14" t="str">
        <f>INDEX('Draft Board'!$A$2:$AB$622,MATCH('Post-Mortem'!B25,'Draft Board'!$F$2:$F$622,0),3)</f>
        <v>Walter Clar</v>
      </c>
      <c r="M25" s="14" t="str">
        <f>INDEX('Draft Board'!$A$2:$AB$622,MATCH('Post-Mortem'!C25,'Draft Board'!$F$2:$F$622,0),3)</f>
        <v>Kauã Prates</v>
      </c>
      <c r="N25" s="14" t="str">
        <f>INDEX('Draft Board'!$A$2:$AB$622,MATCH('Post-Mortem'!D25,'Draft Board'!$F$2:$F$622,0),3)</f>
        <v>Negueba</v>
      </c>
      <c r="O25" s="14" t="str">
        <f>INDEX('Draft Board'!$A$2:$AB$622,MATCH('Post-Mortem'!E25,'Draft Board'!$F$2:$F$622,0),3)</f>
        <v>João Pedro</v>
      </c>
      <c r="P25" s="14" t="str">
        <f>INDEX('Draft Board'!$A$2:$AB$622,MATCH('Post-Mortem'!F25,'Draft Board'!$F$2:$F$622,0),3)</f>
        <v>Isidro Pitta</v>
      </c>
      <c r="Q25" s="14" t="str">
        <f>INDEX('Draft Board'!$A$2:$AB$622,MATCH('Post-Mortem'!G25,'Draft Board'!$F$2:$F$622,0),3)</f>
        <v>Matheus Fernandes</v>
      </c>
      <c r="R25" s="14" t="str">
        <f>INDEX('Draft Board'!$A$2:$AB$622,MATCH('Post-Mortem'!H25,'Draft Board'!$F$2:$F$622,0),3)</f>
        <v>Miguelito</v>
      </c>
      <c r="S25" s="14" t="str">
        <f>INDEX('Draft Board'!$A$2:$AB$622,MATCH('Post-Mortem'!I25,'Draft Board'!$F$2:$F$622,0),3)</f>
        <v>Pedro Raul</v>
      </c>
      <c r="T25" s="14" t="str">
        <f>INDEX('Draft Board'!$A$2:$AB$622,MATCH('Post-Mortem'!J25,'Draft Board'!$F$2:$F$622,0),3)</f>
        <v>Victor Hugo</v>
      </c>
      <c r="U25" s="23" t="str">
        <f>INDEX('Draft Board'!$A$2:$AB$622,MATCH('Post-Mortem'!K25,'Draft Board'!$F$2:$F$622,0),3)</f>
        <v>Jefté</v>
      </c>
      <c r="V25" s="14" t="str">
        <f>INDEX('Draft Board'!$A$2:$AB$622,MATCH('Post-Mortem'!B25,'Draft Board'!$F$2:$F$622,0),21)</f>
        <v>B</v>
      </c>
      <c r="W25" s="14">
        <f>INDEX('Draft Board'!$A$2:$AB$622,MATCH('Post-Mortem'!C25,'Draft Board'!$F$2:$F$622,0),21)</f>
        <v>0</v>
      </c>
      <c r="X25" s="14" t="str">
        <f>INDEX('Draft Board'!$A$2:$AB$622,MATCH('Post-Mortem'!D25,'Draft Board'!$F$2:$F$622,0),21)</f>
        <v>B+</v>
      </c>
      <c r="Y25" s="14" t="str">
        <f>INDEX('Draft Board'!$A$2:$AB$622,MATCH('Post-Mortem'!E25,'Draft Board'!$F$2:$F$622,0),21)</f>
        <v>B</v>
      </c>
      <c r="Z25" s="14">
        <f>INDEX('Draft Board'!$A$2:$AB$622,MATCH('Post-Mortem'!F25,'Draft Board'!$F$2:$F$622,0),21)</f>
        <v>0</v>
      </c>
      <c r="AA25" s="14" t="str">
        <f>INDEX('Draft Board'!$A$2:$AB$622,MATCH('Post-Mortem'!G25,'Draft Board'!$F$2:$F$622,0),21)</f>
        <v>D+</v>
      </c>
      <c r="AB25" s="14">
        <f>INDEX('Draft Board'!$A$2:$AB$622,MATCH('Post-Mortem'!H25,'Draft Board'!$F$2:$F$622,0),21)</f>
        <v>0</v>
      </c>
      <c r="AC25" s="14">
        <f>INDEX('Draft Board'!$A$2:$AB$622,MATCH('Post-Mortem'!I25,'Draft Board'!$F$2:$F$622,0),21)</f>
        <v>0</v>
      </c>
      <c r="AD25" s="14" t="str">
        <f>INDEX('Draft Board'!$A$2:$AB$622,MATCH('Post-Mortem'!J25,'Draft Board'!$F$2:$F$622,0),21)</f>
        <v>C-</v>
      </c>
      <c r="AE25" s="23">
        <f>INDEX('Draft Board'!$A$2:$AB$622,MATCH('Post-Mortem'!K25,'Draft Board'!$F$2:$F$622,0),21)</f>
        <v>0</v>
      </c>
      <c r="AF25" s="14">
        <f>INDEX('Draft Board'!$A$2:$AB$622,MATCH('Post-Mortem'!B25,'Draft Board'!$F$2:$F$622,0),22)</f>
        <v>102</v>
      </c>
      <c r="AG25" s="15">
        <f>INDEX('Draft Board'!$A$2:$AB$622,MATCH('Post-Mortem'!C25,'Draft Board'!$F$2:$F$622,0),22)</f>
        <v>0</v>
      </c>
      <c r="AH25" s="15">
        <f>INDEX('Draft Board'!$A$2:$AB$622,MATCH('Post-Mortem'!D25,'Draft Board'!$F$2:$F$622,0),22)</f>
        <v>70</v>
      </c>
      <c r="AI25" s="15">
        <f>INDEX('Draft Board'!$A$2:$AB$622,MATCH('Post-Mortem'!E25,'Draft Board'!$F$2:$F$622,0),22)</f>
        <v>101</v>
      </c>
      <c r="AJ25" s="15">
        <f>INDEX('Draft Board'!$A$2:$AB$622,MATCH('Post-Mortem'!F25,'Draft Board'!$F$2:$F$622,0),22)</f>
        <v>0</v>
      </c>
      <c r="AK25" s="15">
        <f>INDEX('Draft Board'!$A$2:$AB$622,MATCH('Post-Mortem'!G25,'Draft Board'!$F$2:$F$622,0),22)</f>
        <v>244</v>
      </c>
      <c r="AL25" s="15">
        <f>INDEX('Draft Board'!$A$2:$AB$622,MATCH('Post-Mortem'!H25,'Draft Board'!$F$2:$F$622,0),22)</f>
        <v>0</v>
      </c>
      <c r="AM25" s="15">
        <f>INDEX('Draft Board'!$A$2:$AB$622,MATCH('Post-Mortem'!I25,'Draft Board'!$F$2:$F$622,0),22)</f>
        <v>0</v>
      </c>
      <c r="AN25" s="15">
        <f>INDEX('Draft Board'!$A$2:$AB$622,MATCH('Post-Mortem'!J25,'Draft Board'!$F$2:$F$622,0),22)</f>
        <v>217</v>
      </c>
      <c r="AO25" s="16">
        <f>INDEX('Draft Board'!$A$2:$AB$622,MATCH('Post-Mortem'!K25,'Draft Board'!$F$2:$F$622,0),22)</f>
        <v>0</v>
      </c>
      <c r="AP25" s="14">
        <f t="shared" si="9"/>
        <v>119</v>
      </c>
      <c r="AQ25" s="15">
        <f t="shared" si="0"/>
        <v>222</v>
      </c>
      <c r="AR25" s="15">
        <f t="shared" si="1"/>
        <v>153</v>
      </c>
      <c r="AS25" s="15">
        <f t="shared" si="2"/>
        <v>123</v>
      </c>
      <c r="AT25" s="15">
        <f t="shared" si="3"/>
        <v>225</v>
      </c>
      <c r="AU25" s="15">
        <f t="shared" si="4"/>
        <v>-18</v>
      </c>
      <c r="AV25" s="15">
        <f t="shared" si="5"/>
        <v>227</v>
      </c>
      <c r="AW25" s="15">
        <f t="shared" si="6"/>
        <v>228</v>
      </c>
      <c r="AX25" s="15">
        <f t="shared" si="7"/>
        <v>12</v>
      </c>
      <c r="AY25" s="16">
        <f t="shared" si="8"/>
        <v>230</v>
      </c>
    </row>
    <row r="26" spans="1:51" x14ac:dyDescent="0.2">
      <c r="AP26" s="24">
        <f>AVERAGE(AP3:AP25)</f>
        <v>52.478260869565219</v>
      </c>
      <c r="AQ26" s="24">
        <f t="shared" ref="AQ26:AY26" si="32">AVERAGE(AQ3:AQ25)</f>
        <v>24.782608695652176</v>
      </c>
      <c r="AR26" s="24">
        <f t="shared" si="32"/>
        <v>5.9565217391304346</v>
      </c>
      <c r="AS26" s="24">
        <f t="shared" si="32"/>
        <v>12.695652173913043</v>
      </c>
      <c r="AT26" s="24">
        <f t="shared" si="32"/>
        <v>15.434782608695652</v>
      </c>
      <c r="AU26" s="24">
        <f t="shared" si="32"/>
        <v>13.521739130434783</v>
      </c>
      <c r="AV26" s="24">
        <f t="shared" si="32"/>
        <v>1.7391304347826086</v>
      </c>
      <c r="AW26" s="24">
        <f t="shared" si="32"/>
        <v>0.17391304347826086</v>
      </c>
      <c r="AX26" s="24">
        <f t="shared" si="32"/>
        <v>9.3913043478260878</v>
      </c>
      <c r="AY26" s="24">
        <f t="shared" si="32"/>
        <v>-24.695652173913043</v>
      </c>
    </row>
    <row r="27" spans="1:51" x14ac:dyDescent="0.2">
      <c r="U27" s="2" t="s">
        <v>622</v>
      </c>
      <c r="V27" s="2">
        <f>COUNTIF(V$3:V$25,$U27&amp;"*")</f>
        <v>5</v>
      </c>
      <c r="W27" s="2">
        <f t="shared" ref="W27:AE31" si="33">COUNTIF(W$3:W$25,$U27&amp;"*")</f>
        <v>3</v>
      </c>
      <c r="X27" s="2">
        <f t="shared" si="33"/>
        <v>1</v>
      </c>
      <c r="Y27" s="2">
        <f t="shared" si="33"/>
        <v>2</v>
      </c>
      <c r="Z27" s="2">
        <f t="shared" si="33"/>
        <v>3</v>
      </c>
      <c r="AA27" s="2">
        <f t="shared" si="33"/>
        <v>2</v>
      </c>
      <c r="AB27" s="2">
        <f t="shared" si="33"/>
        <v>2</v>
      </c>
      <c r="AC27" s="2">
        <f t="shared" si="33"/>
        <v>2</v>
      </c>
      <c r="AD27" s="2">
        <f t="shared" si="33"/>
        <v>0</v>
      </c>
      <c r="AE27" s="2">
        <f t="shared" si="33"/>
        <v>0</v>
      </c>
    </row>
    <row r="28" spans="1:51" x14ac:dyDescent="0.2">
      <c r="U28" s="2" t="s">
        <v>620</v>
      </c>
      <c r="V28" s="2">
        <f t="shared" ref="V28:AE31" si="34">COUNTIF(V$3:V$25,$U28&amp;"*")</f>
        <v>7</v>
      </c>
      <c r="W28" s="2">
        <f t="shared" si="33"/>
        <v>7</v>
      </c>
      <c r="X28" s="2">
        <f t="shared" si="33"/>
        <v>1</v>
      </c>
      <c r="Y28" s="2">
        <f t="shared" si="33"/>
        <v>3</v>
      </c>
      <c r="Z28" s="2">
        <f t="shared" si="33"/>
        <v>6</v>
      </c>
      <c r="AA28" s="2">
        <f t="shared" si="33"/>
        <v>6</v>
      </c>
      <c r="AB28" s="2">
        <f t="shared" si="33"/>
        <v>1</v>
      </c>
      <c r="AC28" s="2">
        <f t="shared" si="33"/>
        <v>4</v>
      </c>
      <c r="AD28" s="2">
        <f t="shared" si="33"/>
        <v>4</v>
      </c>
      <c r="AE28" s="2">
        <f t="shared" si="33"/>
        <v>3</v>
      </c>
    </row>
    <row r="29" spans="1:51" x14ac:dyDescent="0.2">
      <c r="U29" s="2" t="s">
        <v>619</v>
      </c>
      <c r="V29" s="2">
        <f t="shared" si="34"/>
        <v>8</v>
      </c>
      <c r="W29" s="2">
        <f t="shared" si="33"/>
        <v>5</v>
      </c>
      <c r="X29" s="2">
        <f t="shared" si="33"/>
        <v>9</v>
      </c>
      <c r="Y29" s="2">
        <f t="shared" si="33"/>
        <v>4</v>
      </c>
      <c r="Z29" s="2">
        <f t="shared" si="33"/>
        <v>5</v>
      </c>
      <c r="AA29" s="2">
        <f t="shared" si="33"/>
        <v>3</v>
      </c>
      <c r="AB29" s="2">
        <f t="shared" si="33"/>
        <v>7</v>
      </c>
      <c r="AC29" s="2">
        <f t="shared" si="33"/>
        <v>5</v>
      </c>
      <c r="AD29" s="2">
        <f t="shared" si="33"/>
        <v>3</v>
      </c>
      <c r="AE29" s="2">
        <f t="shared" si="33"/>
        <v>4</v>
      </c>
    </row>
    <row r="30" spans="1:51" x14ac:dyDescent="0.2">
      <c r="U30" s="2" t="s">
        <v>621</v>
      </c>
      <c r="V30" s="2">
        <f t="shared" si="34"/>
        <v>3</v>
      </c>
      <c r="W30" s="2">
        <f t="shared" si="33"/>
        <v>6</v>
      </c>
      <c r="X30" s="2">
        <f t="shared" si="33"/>
        <v>4</v>
      </c>
      <c r="Y30" s="2">
        <f t="shared" si="33"/>
        <v>5</v>
      </c>
      <c r="Z30" s="2">
        <f t="shared" si="33"/>
        <v>4</v>
      </c>
      <c r="AA30" s="2">
        <f t="shared" si="33"/>
        <v>10</v>
      </c>
      <c r="AB30" s="2">
        <f t="shared" si="33"/>
        <v>7</v>
      </c>
      <c r="AC30" s="2">
        <f t="shared" si="33"/>
        <v>7</v>
      </c>
      <c r="AD30" s="2">
        <f t="shared" si="33"/>
        <v>4</v>
      </c>
      <c r="AE30" s="2">
        <f t="shared" si="33"/>
        <v>8</v>
      </c>
    </row>
    <row r="31" spans="1:51" x14ac:dyDescent="0.2">
      <c r="U31" s="2" t="s">
        <v>623</v>
      </c>
      <c r="V31" s="2">
        <f t="shared" si="34"/>
        <v>0</v>
      </c>
      <c r="W31" s="2">
        <f t="shared" si="33"/>
        <v>1</v>
      </c>
      <c r="X31" s="2">
        <f t="shared" si="33"/>
        <v>4</v>
      </c>
      <c r="Y31" s="2">
        <f t="shared" si="33"/>
        <v>4</v>
      </c>
      <c r="Z31" s="2">
        <f t="shared" si="33"/>
        <v>3</v>
      </c>
      <c r="AA31" s="2">
        <f t="shared" si="33"/>
        <v>1</v>
      </c>
      <c r="AB31" s="2">
        <f t="shared" si="33"/>
        <v>3</v>
      </c>
      <c r="AC31" s="2">
        <f t="shared" si="33"/>
        <v>3</v>
      </c>
      <c r="AD31" s="2">
        <f t="shared" si="33"/>
        <v>5</v>
      </c>
      <c r="AE31" s="2">
        <f t="shared" si="33"/>
        <v>5</v>
      </c>
    </row>
  </sheetData>
  <mergeCells count="5">
    <mergeCell ref="B1:K1"/>
    <mergeCell ref="L1:U1"/>
    <mergeCell ref="AF1:AO1"/>
    <mergeCell ref="AP1:AY1"/>
    <mergeCell ref="V1:A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1721-22BE-664B-BB38-C3E01F02484E}">
  <dimension ref="A1:F7"/>
  <sheetViews>
    <sheetView showGridLines="0" zoomScale="130" zoomScaleNormal="130" workbookViewId="0">
      <selection sqref="A1:A2"/>
    </sheetView>
  </sheetViews>
  <sheetFormatPr baseColWidth="10" defaultRowHeight="15" x14ac:dyDescent="0.2"/>
  <cols>
    <col min="6" max="6" width="74.33203125" bestFit="1" customWidth="1"/>
  </cols>
  <sheetData>
    <row r="1" spans="1:6" x14ac:dyDescent="0.2">
      <c r="A1" s="21" t="s">
        <v>632</v>
      </c>
      <c r="B1" s="20" t="s">
        <v>638</v>
      </c>
      <c r="C1" s="20"/>
      <c r="D1" s="20" t="s">
        <v>639</v>
      </c>
      <c r="E1" s="20"/>
      <c r="F1" s="21" t="s">
        <v>640</v>
      </c>
    </row>
    <row r="2" spans="1:6" x14ac:dyDescent="0.2">
      <c r="A2" s="21"/>
      <c r="B2" s="3" t="s">
        <v>633</v>
      </c>
      <c r="C2" s="3" t="s">
        <v>634</v>
      </c>
      <c r="D2" s="3" t="s">
        <v>633</v>
      </c>
      <c r="E2" s="3" t="s">
        <v>634</v>
      </c>
      <c r="F2" s="21"/>
    </row>
    <row r="3" spans="1:6" x14ac:dyDescent="0.2">
      <c r="A3" s="2" t="s">
        <v>27</v>
      </c>
      <c r="B3" s="4">
        <v>0.9536</v>
      </c>
      <c r="C3" s="4">
        <v>0.55906699999999998</v>
      </c>
      <c r="D3" s="4">
        <v>1.203144</v>
      </c>
      <c r="E3" s="4">
        <v>1.301418</v>
      </c>
      <c r="F3" t="s">
        <v>643</v>
      </c>
    </row>
    <row r="4" spans="1:6" x14ac:dyDescent="0.2">
      <c r="A4" s="2" t="s">
        <v>37</v>
      </c>
      <c r="B4" s="4">
        <v>0.79059999999999997</v>
      </c>
      <c r="C4" s="4">
        <v>0.86539999999999995</v>
      </c>
      <c r="D4" s="4">
        <v>0.80639099999999997</v>
      </c>
      <c r="E4" s="4">
        <v>0.890872</v>
      </c>
      <c r="F4" t="s">
        <v>644</v>
      </c>
    </row>
    <row r="5" spans="1:6" x14ac:dyDescent="0.2">
      <c r="A5" s="2" t="s">
        <v>29</v>
      </c>
      <c r="B5" s="4">
        <v>9.5999999999999992E-3</v>
      </c>
      <c r="C5" s="4">
        <v>-0.234933</v>
      </c>
      <c r="D5" s="4">
        <v>1.318943</v>
      </c>
      <c r="E5" s="4">
        <v>1.2448570000000001</v>
      </c>
      <c r="F5" t="s">
        <v>645</v>
      </c>
    </row>
    <row r="6" spans="1:6" x14ac:dyDescent="0.2">
      <c r="A6" s="2" t="s">
        <v>24</v>
      </c>
      <c r="B6" s="4">
        <v>-0.6784</v>
      </c>
      <c r="C6" s="4">
        <v>-0.51060000000000005</v>
      </c>
      <c r="D6" s="4">
        <v>1.2585219999999999</v>
      </c>
      <c r="E6" s="4">
        <v>1.37615</v>
      </c>
      <c r="F6" t="s">
        <v>642</v>
      </c>
    </row>
    <row r="7" spans="1:6" x14ac:dyDescent="0.2">
      <c r="A7" s="2" t="s">
        <v>53</v>
      </c>
      <c r="B7" s="4">
        <v>-1.0753999999999999</v>
      </c>
      <c r="C7" s="4">
        <v>-0.67893300000000001</v>
      </c>
      <c r="D7" s="4">
        <v>0.31857999999999997</v>
      </c>
      <c r="E7" s="4">
        <v>0.491676</v>
      </c>
      <c r="F7" t="s">
        <v>641</v>
      </c>
    </row>
  </sheetData>
  <mergeCells count="4">
    <mergeCell ref="B1:C1"/>
    <mergeCell ref="D1:E1"/>
    <mergeCell ref="F1:F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 Board</vt:lpstr>
      <vt:lpstr>My Picks</vt:lpstr>
      <vt:lpstr>Picks</vt:lpstr>
      <vt:lpstr>Post-Mortem</vt:lpstr>
      <vt:lpstr>Position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Massa</cp:lastModifiedBy>
  <dcterms:created xsi:type="dcterms:W3CDTF">2026-01-30T11:19:37Z</dcterms:created>
  <dcterms:modified xsi:type="dcterms:W3CDTF">2026-02-04T22:04:32Z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2026-01-30T11:20:26Z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1faae02f-4966-46f1-9acf-19dd7a797e96</vt:lpwstr>
  </property>
  <property fmtid="{D5CDD505-2E9C-101B-9397-08002B2CF9AE}" pid="8" name="MSIP_Label_b064f6f3-ba1e-417c-b6f1-929d6caea309_ContentBits">
    <vt:lpwstr>1</vt:lpwstr>
  </property>
  <property fmtid="{D5CDD505-2E9C-101B-9397-08002B2CF9AE}" pid="9" name="MSIP_Label_b064f6f3-ba1e-417c-b6f1-929d6caea309_Tag">
    <vt:lpwstr>50, 0, 1, 1</vt:lpwstr>
  </property>
</Properties>
</file>